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· Sample Tracker" sheetId="1" state="visible" r:id="rId3"/>
    <sheet name="2 · Decision Matrix" sheetId="2" state="visible" r:id="rId4"/>
    <sheet name="3 · Quality Checklist" sheetId="3" state="visible" r:id="rId5"/>
    <sheet name="4 · Wholesale Order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<sst xmlns="http://schemas.openxmlformats.org/spreadsheetml/2006/main" count="192" uniqueCount="183">
  <si>
    <t xml:space="preserve">TNC · Alibaba Sample Tracker</t>
  </si>
  <si>
    <t xml:space="preserve">Per-supplier logistics log. One row per sample. Update as parcels arrive in Sweden.</t>
  </si>
  <si>
    <t xml:space="preserve">Supplier</t>
  </si>
  <si>
    <t xml:space="preserve">Product</t>
  </si>
  <si>
    <t xml:space="preserve">Alibaba Product Link</t>
  </si>
  <si>
    <t xml:space="preserve">Trade Assurance ID</t>
  </si>
  <si>
    <t xml:space="preserve">Sample Cost (€)</t>
  </si>
  <si>
    <t xml:space="preserve">Tracking Number</t>
  </si>
  <si>
    <t xml:space="preserve">Date Shipped</t>
  </si>
  <si>
    <t xml:space="preserve">Expected Arrival</t>
  </si>
  <si>
    <t xml:space="preserve">Date Received</t>
  </si>
  <si>
    <t xml:space="preserve">Days in Transit</t>
  </si>
  <si>
    <t xml:space="preserve">Sample Photos Taken?</t>
  </si>
  <si>
    <t xml:space="preserve">Supplier Notes / Red Flags</t>
  </si>
  <si>
    <t xml:space="preserve">Voolenx (Shenzhen Weilongxin Crafts &amp; Gifts)</t>
  </si>
  <si>
    <t xml:space="preserve">Spanish Cedar Glass-Top Humidor (25-count)</t>
  </si>
  <si>
    <t xml:space="preserve">https://www.alibaba.com/product-detail/11000019091979.html</t>
  </si>
  <si>
    <t xml:space="preserve">No</t>
  </si>
  <si>
    <t xml:space="preserve">FSC certified · 19yrs production · 5.0 rating, 3 reviews</t>
  </si>
  <si>
    <t xml:space="preserve">TNC · Sample Decision Matrix</t>
  </si>
  <si>
    <t xml:space="preserve">Score each supplier after the sample is in your hands. 38+ = GREEN (order). 28-37 = YELLOW (revise). &lt;28 = RED (drop).</t>
  </si>
  <si>
    <t xml:space="preserve">Quality (1-10, weight ×2)</t>
  </si>
  <si>
    <t xml:space="preserve">Packaging (1-10)</t>
  </si>
  <si>
    <t xml:space="preserve">Responsiveness (1-10)</t>
  </si>
  <si>
    <t xml:space="preserve">MOQ Flex (1-10)</t>
  </si>
  <si>
    <t xml:space="preserve">Shipping / Lead Time (1-10)</t>
  </si>
  <si>
    <t xml:space="preserve">Total Score (max 60)</t>
  </si>
  <si>
    <t xml:space="preserve">Verdict</t>
  </si>
  <si>
    <t xml:space="preserve">Action / Next Step</t>
  </si>
  <si>
    <t xml:space="preserve">Voolenx</t>
  </si>
  <si>
    <t xml:space="preserve">Spanish Cedar Glass-Top Humidor</t>
  </si>
  <si>
    <t xml:space="preserve">(Supplier 2)</t>
  </si>
  <si>
    <t xml:space="preserve">Leather Travel Humidor (5-cigar)</t>
  </si>
  <si>
    <t xml:space="preserve">(Supplier 3)</t>
  </si>
  <si>
    <t xml:space="preserve">Triple-Jet Torch Lighter</t>
  </si>
  <si>
    <t xml:space="preserve">(Supplier 4)</t>
  </si>
  <si>
    <t xml:space="preserve">Crystal 4-Rest Ashtray</t>
  </si>
  <si>
    <t xml:space="preserve">(Supplier 5)</t>
  </si>
  <si>
    <t xml:space="preserve">Guillotine + V-Cut Cutter</t>
  </si>
  <si>
    <t xml:space="preserve">(Supplier 6 — retry)</t>
  </si>
  <si>
    <t xml:space="preserve">Spanish Cedar Sheets (10-pack)</t>
  </si>
  <si>
    <t xml:space="preserve">SCORING GUIDE</t>
  </si>
  <si>
    <t xml:space="preserve">Quality</t>
  </si>
  <si>
    <t xml:space="preserve">Smell, finish, materials, seal/blade/flame tests. ×2 weight.</t>
  </si>
  <si>
    <t xml:space="preserve">Packaging</t>
  </si>
  <si>
    <t xml:space="preserve">Box quality, fitted foam, branded packing slip. Premium = 8-10.</t>
  </si>
  <si>
    <t xml:space="preserve">Responsiveness</t>
  </si>
  <si>
    <t xml:space="preserve">Alibaba chat speed, English clarity, willingness to negotiate.</t>
  </si>
  <si>
    <t xml:space="preserve">MOQ Flex</t>
  </si>
  <si>
    <t xml:space="preserve">Accepting 6-20 unit first order = 9-10. Demanding 100+ = 1-3.</t>
  </si>
  <si>
    <t xml:space="preserve">Shipping</t>
  </si>
  <si>
    <t xml:space="preserve">≤21 days to Sweden via Alibaba Logistics = 9-10. &gt;35 days = 3-4.</t>
  </si>
  <si>
    <t xml:space="preserve">VERDICT BANDS</t>
  </si>
  <si>
    <t xml:space="preserve">38-60 GREEN</t>
  </si>
  <si>
    <t xml:space="preserve">Order 10-20 unit first wholesale batch. Set up listing on /shop/.</t>
  </si>
  <si>
    <t xml:space="preserve">28-37 YELLOW</t>
  </si>
  <si>
    <t xml:space="preserve">Request revised sample. Send photos of specific defects to the supplier.</t>
  </si>
  <si>
    <t xml:space="preserve">0-27 RED</t>
  </si>
  <si>
    <t xml:space="preserve">Drop the supplier. Move to the next factory in the same category.</t>
  </si>
  <si>
    <t xml:space="preserve">TNC · Per-Product Quality Tests</t>
  </si>
  <si>
    <t xml:space="preserve">Run these the moment a sample lands. Mark each Pass / Fail / N/A. Photographs every result.</t>
  </si>
  <si>
    <t xml:space="preserve">Product Category</t>
  </si>
  <si>
    <t xml:space="preserve">Test</t>
  </si>
  <si>
    <t xml:space="preserve">How to Do It</t>
  </si>
  <si>
    <t xml:space="preserve">Pass = </t>
  </si>
  <si>
    <t xml:space="preserve">Result (P / F / N/A)</t>
  </si>
  <si>
    <t xml:space="preserve">Notes</t>
  </si>
  <si>
    <t xml:space="preserve">Spanish Cedar Humidor</t>
  </si>
  <si>
    <t xml:space="preserve">Cedar smell</t>
  </si>
  <si>
    <t xml:space="preserve">Open lid, lean close. Should hit immediately.</t>
  </si>
  <si>
    <t xml:space="preserve">Strong sweet aroma</t>
  </si>
  <si>
    <t xml:space="preserve">Seal test (Euro note)</t>
  </si>
  <si>
    <t xml:space="preserve">Place note under closed lid, try to slide out.</t>
  </si>
  <si>
    <t xml:space="preserve">Resists strongly</t>
  </si>
  <si>
    <t xml:space="preserve">Hinge action (20 cycles)</t>
  </si>
  <si>
    <t xml:space="preserve">Open/close 20 times.</t>
  </si>
  <si>
    <t xml:space="preserve">Solid, no wobble or creak</t>
  </si>
  <si>
    <t xml:space="preserve">Glass quality</t>
  </si>
  <si>
    <t xml:space="preserve">Inspect for bubbles/scratches. Fingernail tap.</t>
  </si>
  <si>
    <t xml:space="preserve">Clear ring (real glass)</t>
  </si>
  <si>
    <t xml:space="preserve">Hygrometer accuracy</t>
  </si>
  <si>
    <t xml:space="preserve">Sealed bag with wet sponge, 3hr. Should read 75% RH ±3%.</t>
  </si>
  <si>
    <t xml:space="preserve">75% RH ±3%</t>
  </si>
  <si>
    <t xml:space="preserve">24-hour Boveda seal test</t>
  </si>
  <si>
    <t xml:space="preserve">Drop 69% Boveda inside. Re-check RH after 24h.</t>
  </si>
  <si>
    <t xml:space="preserve">Holds 65-73% RH</t>
  </si>
  <si>
    <t xml:space="preserve">Weight</t>
  </si>
  <si>
    <t xml:space="preserve">Should feel substantial. 25-count humidor ≥1.5kg.</t>
  </si>
  <si>
    <t xml:space="preserve">≥1.5kg for 25-count</t>
  </si>
  <si>
    <t xml:space="preserve">Leather Travel Case</t>
  </si>
  <si>
    <t xml:space="preserve">Leather smell</t>
  </si>
  <si>
    <t xml:space="preserve">Sniff the leather.</t>
  </si>
  <si>
    <t xml:space="preserve">Real leather aroma, not vinyl/plastic</t>
  </si>
  <si>
    <t xml:space="preserve">Stitches per inch</t>
  </si>
  <si>
    <t xml:space="preserve">Count stitches in 2.5cm.</t>
  </si>
  <si>
    <t xml:space="preserve">7-9 stitches/inch</t>
  </si>
  <si>
    <t xml:space="preserve">Lining material</t>
  </si>
  <si>
    <t xml:space="preserve">Open up — should be cedar.</t>
  </si>
  <si>
    <t xml:space="preserve">Real cedar (smell confirms)</t>
  </si>
  <si>
    <t xml:space="preserve">Closure (10 cycles)</t>
  </si>
  <si>
    <t xml:space="preserve">Test snap or zipper 10 times.</t>
  </si>
  <si>
    <t xml:space="preserve">Holds firm every time</t>
  </si>
  <si>
    <t xml:space="preserve">Cigar fit (5 cigars)</t>
  </si>
  <si>
    <t xml:space="preserve">Place 5 real cigars.</t>
  </si>
  <si>
    <t xml:space="preserve">Snug, no rattle</t>
  </si>
  <si>
    <t xml:space="preserve">Edge finish</t>
  </si>
  <si>
    <t xml:space="preserve">Inspect cut leather edges.</t>
  </si>
  <si>
    <t xml:space="preserve">Sealed/burnished/painted</t>
  </si>
  <si>
    <t xml:space="preserve">Triple-Jet Lighter</t>
  </si>
  <si>
    <t xml:space="preserve">First-fill ignition</t>
  </si>
  <si>
    <t xml:space="preserve">Fill premium butane, first light.</t>
  </si>
  <si>
    <t xml:space="preserve">Immediate, no failed sparks</t>
  </si>
  <si>
    <t xml:space="preserve">Flame consistency (30s)</t>
  </si>
  <si>
    <t xml:space="preserve">Hold lit for 30 seconds.</t>
  </si>
  <si>
    <t xml:space="preserve">Stable, blue-cored, no orange lapses</t>
  </si>
  <si>
    <t xml:space="preserve">Flame size adjuster</t>
  </si>
  <si>
    <t xml:space="preserve">Crank min ↔ max.</t>
  </si>
  <si>
    <t xml:space="preserve">Visible, predictable change</t>
  </si>
  <si>
    <t xml:space="preserve">Weigh on kitchen scale.</t>
  </si>
  <si>
    <t xml:space="preserve">≥80g feels right; &lt;50g = cheap</t>
  </si>
  <si>
    <t xml:space="preserve">Refill valve (3 cycles)</t>
  </si>
  <si>
    <t xml:space="preserve">Refill 3 times consecutively.</t>
  </si>
  <si>
    <t xml:space="preserve">No leaks or rough action</t>
  </si>
  <si>
    <t xml:space="preserve">Cigar light test</t>
  </si>
  <si>
    <t xml:space="preserve">Light a real Robusto.</t>
  </si>
  <si>
    <t xml:space="preserve">1-1.5cm flame width</t>
  </si>
  <si>
    <t xml:space="preserve">Weigh.</t>
  </si>
  <si>
    <t xml:space="preserve">≥1kg for 6-inch</t>
  </si>
  <si>
    <t xml:space="preserve">Rim chip inspection</t>
  </si>
  <si>
    <t xml:space="preserve">Finger around rim.</t>
  </si>
  <si>
    <t xml:space="preserve">No nicks or chips</t>
  </si>
  <si>
    <t xml:space="preserve">Wells fit (50RG cigar)</t>
  </si>
  <si>
    <t xml:space="preserve">Place Robusto in each well.</t>
  </si>
  <si>
    <t xml:space="preserve">Stable, no rolling</t>
  </si>
  <si>
    <t xml:space="preserve">Base stability</t>
  </si>
  <si>
    <t xml:space="preserve">Push sideways on smooth surface.</t>
  </si>
  <si>
    <t xml:space="preserve">Glides, doesn't tip</t>
  </si>
  <si>
    <t xml:space="preserve">Tap test</t>
  </si>
  <si>
    <t xml:space="preserve">Tap with fingernail.</t>
  </si>
  <si>
    <t xml:space="preserve">Rings (crystal); dull thud = reject</t>
  </si>
  <si>
    <t xml:space="preserve">Cutter (V + Guillotine)</t>
  </si>
  <si>
    <t xml:space="preserve">Paper sharpness test</t>
  </si>
  <si>
    <t xml:space="preserve">Close on single sheet of paper.</t>
  </si>
  <si>
    <t xml:space="preserve">Clean slice</t>
  </si>
  <si>
    <t xml:space="preserve">Blade alignment</t>
  </si>
  <si>
    <t xml:space="preserve">Close, hold to light.</t>
  </si>
  <si>
    <t xml:space="preserve">Blades meet flush</t>
  </si>
  <si>
    <t xml:space="preserve">Spring action (30 cycles)</t>
  </si>
  <si>
    <t xml:space="preserve">Open/close 30 times.</t>
  </si>
  <si>
    <t xml:space="preserve">Snaps back firmly each time</t>
  </si>
  <si>
    <t xml:space="preserve">Lock mechanism</t>
  </si>
  <si>
    <t xml:space="preserve">If present — test pocket safety.</t>
  </si>
  <si>
    <t xml:space="preserve">Holds closed under pressure</t>
  </si>
  <si>
    <t xml:space="preserve">Cigar cut</t>
  </si>
  <si>
    <t xml:space="preserve">Cut a real Robusto.</t>
  </si>
  <si>
    <t xml:space="preserve">Clean cap, no shred or split</t>
  </si>
  <si>
    <t xml:space="preserve">Spanish Cedar Sheets</t>
  </si>
  <si>
    <t xml:space="preserve">Cedar smell intensity</t>
  </si>
  <si>
    <t xml:space="preserve">Sniff a sheet.</t>
  </si>
  <si>
    <t xml:space="preserve">Strong, fresh cedar aroma</t>
  </si>
  <si>
    <t xml:space="preserve">Thickness consistency</t>
  </si>
  <si>
    <t xml:space="preserve">Measure 5 random sheets.</t>
  </si>
  <si>
    <t xml:space="preserve">Within 0.5mm of each other</t>
  </si>
  <si>
    <t xml:space="preserve">Flatness</t>
  </si>
  <si>
    <t xml:space="preserve">Lay flat on surface.</t>
  </si>
  <si>
    <t xml:space="preserve">Sits perfectly flat, no warp</t>
  </si>
  <si>
    <t xml:space="preserve">Color consistency</t>
  </si>
  <si>
    <t xml:space="preserve">Compare 5 sheets.</t>
  </si>
  <si>
    <t xml:space="preserve">Uniform warm reddish-brown</t>
  </si>
  <si>
    <t xml:space="preserve">TNC · Wholesale Order Log</t>
  </si>
  <si>
    <t xml:space="preserve">After a sample passes (38+ on Decision Matrix), record the first 10-20 unit production order here.</t>
  </si>
  <si>
    <t xml:space="preserve">Order Date</t>
  </si>
  <si>
    <t xml:space="preserve">Qty Ordered</t>
  </si>
  <si>
    <t xml:space="preserve">Unit Cost (€)</t>
  </si>
  <si>
    <t xml:space="preserve">Total Cost (€)</t>
  </si>
  <si>
    <t xml:space="preserve">Production Start</t>
  </si>
  <si>
    <t xml:space="preserve">Estimated Ship</t>
  </si>
  <si>
    <t xml:space="preserve">Estimated Arrival EU</t>
  </si>
  <si>
    <t xml:space="preserve">Actual Arrival</t>
  </si>
  <si>
    <t xml:space="preserve">Sale Price (€)</t>
  </si>
  <si>
    <t xml:space="preserve">Margin per Unit (€)</t>
  </si>
  <si>
    <t xml:space="preserve">Margin %</t>
  </si>
  <si>
    <t xml:space="preserve">Status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</si>
</sst>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€#,##0.00"/>
    <numFmt numFmtId="166" formatCode="yyyy\-mm\-dd"/>
    <numFmt numFmtId="167" formatCode="0"/>
    <numFmt numFmtId="168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6E262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51515"/>
      <name val="Arial"/>
      <family val="0"/>
      <charset val="1"/>
    </font>
    <font>
      <b val="true"/>
      <sz val="11"/>
      <color rgb="FF6E2620"/>
      <name val="Arial"/>
      <family val="0"/>
      <charset val="1"/>
    </font>
    <font>
      <b val="true"/>
      <sz val="10"/>
      <color rgb="FF15151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F57F17"/>
      <name val="Arial"/>
      <family val="0"/>
      <charset val="1"/>
    </font>
    <font>
      <b val="true"/>
      <sz val="10"/>
      <color rgb="FFC6282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6E2620"/>
        <bgColor rgb="FF800000"/>
      </patternFill>
    </fill>
    <fill>
      <patternFill patternType="solid">
        <fgColor rgb="FFFCF8DE"/>
        <bgColor rgb="FFFAFAFA"/>
      </patternFill>
    </fill>
    <fill>
      <patternFill patternType="solid">
        <fgColor rgb="FF151515"/>
        <bgColor rgb="FF000000"/>
      </patternFill>
    </fill>
    <fill>
      <patternFill patternType="solid">
        <fgColor rgb="FFFAFA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EEEE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62828"/>
      <rgbColor rgb="FFFCF8DE"/>
      <rgbColor rgb="FFEEEE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AFA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57F17"/>
      <rgbColor rgb="FF666699"/>
      <rgbColor rgb="FF969696"/>
      <rgbColor rgb="FF003366"/>
      <rgbColor rgb="FF2E7D32"/>
      <rgbColor rgb="FF151515"/>
      <rgbColor rgb="FF333300"/>
      <rgbColor rgb="FF6E262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10" min="9" style="0" width="14"/>
    <col collapsed="false" customWidth="true" hidden="false" outlineLevel="0" max="11" min="11" style="0" width="18"/>
    <col collapsed="false" customWidth="true" hidden="false" outlineLevel="0" max="12" min="12" style="0" width="36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23.85" hidden="false" customHeight="false" outlineLevel="0" collapsed="false">
      <c r="A4" s="4" t="s">
        <v>14</v>
      </c>
      <c r="B4" s="4" t="s">
        <v>15</v>
      </c>
      <c r="C4" s="4" t="s">
        <v>16</v>
      </c>
      <c r="D4" s="4"/>
      <c r="E4" s="5"/>
      <c r="F4" s="4"/>
      <c r="G4" s="6"/>
      <c r="H4" s="6"/>
      <c r="I4" s="6"/>
      <c r="J4" s="7" t="str">
        <f aca="false">IF(AND(ISNUMBER(G4),ISNUMBER(I4)),I4-G4,"")</f>
        <v/>
      </c>
      <c r="K4" s="4" t="s">
        <v>17</v>
      </c>
      <c r="L4" s="4" t="s">
        <v>18</v>
      </c>
    </row>
    <row r="5" customFormat="false" ht="15" hidden="false" customHeight="false" outlineLevel="0" collapsed="false">
      <c r="A5" s="4"/>
      <c r="B5" s="4"/>
      <c r="C5" s="4"/>
      <c r="D5" s="4"/>
      <c r="E5" s="5"/>
      <c r="F5" s="4"/>
      <c r="G5" s="6"/>
      <c r="H5" s="6"/>
      <c r="I5" s="6"/>
      <c r="J5" s="7" t="str">
        <f aca="false">IF(AND(ISNUMBER(G5),ISNUMBER(I5)),I5-G5,"")</f>
        <v/>
      </c>
      <c r="K5" s="4"/>
      <c r="L5" s="4"/>
    </row>
    <row r="6" customFormat="false" ht="15" hidden="false" customHeight="false" outlineLevel="0" collapsed="false">
      <c r="A6" s="8"/>
      <c r="B6" s="8"/>
      <c r="C6" s="8"/>
      <c r="D6" s="8"/>
      <c r="E6" s="9"/>
      <c r="F6" s="8"/>
      <c r="G6" s="10"/>
      <c r="H6" s="10"/>
      <c r="I6" s="10"/>
      <c r="J6" s="11" t="str">
        <f aca="false">IF(AND(ISNUMBER(G6),ISNUMBER(I6)),I6-G6,"")</f>
        <v/>
      </c>
      <c r="K6" s="8"/>
      <c r="L6" s="8"/>
    </row>
    <row r="7" customFormat="false" ht="15" hidden="false" customHeight="false" outlineLevel="0" collapsed="false">
      <c r="A7" s="4"/>
      <c r="B7" s="4"/>
      <c r="C7" s="4"/>
      <c r="D7" s="4"/>
      <c r="E7" s="5"/>
      <c r="F7" s="4"/>
      <c r="G7" s="6"/>
      <c r="H7" s="6"/>
      <c r="I7" s="6"/>
      <c r="J7" s="7" t="str">
        <f aca="false">IF(AND(ISNUMBER(G7),ISNUMBER(I7)),I7-G7,"")</f>
        <v/>
      </c>
      <c r="K7" s="4"/>
      <c r="L7" s="4"/>
    </row>
    <row r="8" customFormat="false" ht="15" hidden="false" customHeight="false" outlineLevel="0" collapsed="false">
      <c r="A8" s="8"/>
      <c r="B8" s="8"/>
      <c r="C8" s="8"/>
      <c r="D8" s="8"/>
      <c r="E8" s="9"/>
      <c r="F8" s="8"/>
      <c r="G8" s="10"/>
      <c r="H8" s="10"/>
      <c r="I8" s="10"/>
      <c r="J8" s="11" t="str">
        <f aca="false">IF(AND(ISNUMBER(G8),ISNUMBER(I8)),I8-G8,"")</f>
        <v/>
      </c>
      <c r="K8" s="8"/>
      <c r="L8" s="8"/>
    </row>
    <row r="9" customFormat="false" ht="15" hidden="false" customHeight="false" outlineLevel="0" collapsed="false">
      <c r="A9" s="4"/>
      <c r="B9" s="4"/>
      <c r="C9" s="4"/>
      <c r="D9" s="4"/>
      <c r="E9" s="5"/>
      <c r="F9" s="4"/>
      <c r="G9" s="6"/>
      <c r="H9" s="6"/>
      <c r="I9" s="6"/>
      <c r="J9" s="7" t="str">
        <f aca="false">IF(AND(ISNUMBER(G9),ISNUMBER(I9)),I9-G9,"")</f>
        <v/>
      </c>
      <c r="K9" s="4"/>
      <c r="L9" s="4"/>
    </row>
    <row r="10" customFormat="false" ht="15" hidden="false" customHeight="false" outlineLevel="0" collapsed="false">
      <c r="A10" s="8"/>
      <c r="B10" s="8"/>
      <c r="C10" s="8"/>
      <c r="D10" s="8"/>
      <c r="E10" s="9"/>
      <c r="F10" s="8"/>
      <c r="G10" s="10"/>
      <c r="H10" s="10"/>
      <c r="I10" s="10"/>
      <c r="J10" s="11" t="str">
        <f aca="false">IF(AND(ISNUMBER(G10),ISNUMBER(I10)),I10-G10,"")</f>
        <v/>
      </c>
      <c r="K10" s="8"/>
      <c r="L10" s="8"/>
    </row>
    <row r="11" customFormat="false" ht="15" hidden="false" customHeight="false" outlineLevel="0" collapsed="false">
      <c r="A11" s="4"/>
      <c r="B11" s="4"/>
      <c r="C11" s="4"/>
      <c r="D11" s="4"/>
      <c r="E11" s="5"/>
      <c r="F11" s="4"/>
      <c r="G11" s="6"/>
      <c r="H11" s="6"/>
      <c r="I11" s="6"/>
      <c r="J11" s="7" t="str">
        <f aca="false">IF(AND(ISNUMBER(G11),ISNUMBER(I11)),I11-G11,"")</f>
        <v/>
      </c>
      <c r="K11" s="4"/>
      <c r="L11" s="4"/>
    </row>
    <row r="12" customFormat="false" ht="15" hidden="false" customHeight="false" outlineLevel="0" collapsed="false">
      <c r="A12" s="8"/>
      <c r="B12" s="8"/>
      <c r="C12" s="8"/>
      <c r="D12" s="8"/>
      <c r="E12" s="9"/>
      <c r="F12" s="8"/>
      <c r="G12" s="10"/>
      <c r="H12" s="10"/>
      <c r="I12" s="10"/>
      <c r="J12" s="11" t="str">
        <f aca="false">IF(AND(ISNUMBER(G12),ISNUMBER(I12)),I12-G12,"")</f>
        <v/>
      </c>
      <c r="K12" s="8"/>
      <c r="L12" s="8"/>
    </row>
    <row r="13" customFormat="false" ht="15" hidden="false" customHeight="false" outlineLevel="0" collapsed="false">
      <c r="A13" s="4"/>
      <c r="B13" s="4"/>
      <c r="C13" s="4"/>
      <c r="D13" s="4"/>
      <c r="E13" s="5"/>
      <c r="F13" s="4"/>
      <c r="G13" s="6"/>
      <c r="H13" s="6"/>
      <c r="I13" s="6"/>
      <c r="J13" s="7" t="str">
        <f aca="false">IF(AND(ISNUMBER(G13),ISNUMBER(I13)),I13-G13,"")</f>
        <v/>
      </c>
      <c r="K13" s="4"/>
      <c r="L13" s="4"/>
    </row>
    <row r="14" customFormat="false" ht="15" hidden="false" customHeight="false" outlineLevel="0" collapsed="false">
      <c r="A14" s="8"/>
      <c r="B14" s="8"/>
      <c r="C14" s="8"/>
      <c r="D14" s="8"/>
      <c r="E14" s="9"/>
      <c r="F14" s="8"/>
      <c r="G14" s="10"/>
      <c r="H14" s="10"/>
      <c r="I14" s="10"/>
      <c r="J14" s="11" t="str">
        <f aca="false">IF(AND(ISNUMBER(G14),ISNUMBER(I14)),I14-G14,"")</f>
        <v/>
      </c>
      <c r="K14" s="8"/>
      <c r="L14" s="8"/>
    </row>
    <row r="15" customFormat="false" ht="15" hidden="false" customHeight="false" outlineLevel="0" collapsed="false">
      <c r="A15" s="4"/>
      <c r="B15" s="4"/>
      <c r="C15" s="4"/>
      <c r="D15" s="4"/>
      <c r="E15" s="5"/>
      <c r="F15" s="4"/>
      <c r="G15" s="6"/>
      <c r="H15" s="6"/>
      <c r="I15" s="6"/>
      <c r="J15" s="7" t="str">
        <f aca="false">IF(AND(ISNUMBER(G15),ISNUMBER(I15)),I15-G15,"")</f>
        <v/>
      </c>
      <c r="K15" s="4"/>
      <c r="L15" s="4"/>
    </row>
    <row r="16" customFormat="false" ht="15" hidden="false" customHeight="false" outlineLevel="0" collapsed="false">
      <c r="A16" s="8"/>
      <c r="B16" s="8"/>
      <c r="C16" s="8"/>
      <c r="D16" s="8"/>
      <c r="E16" s="9"/>
      <c r="F16" s="8"/>
      <c r="G16" s="10"/>
      <c r="H16" s="10"/>
      <c r="I16" s="10"/>
      <c r="J16" s="11" t="str">
        <f aca="false">IF(AND(ISNUMBER(G16),ISNUMBER(I16)),I16-G16,"")</f>
        <v/>
      </c>
      <c r="K16" s="8"/>
      <c r="L16" s="8"/>
    </row>
    <row r="17" customFormat="false" ht="15" hidden="false" customHeight="false" outlineLevel="0" collapsed="false">
      <c r="A17" s="4"/>
      <c r="B17" s="4"/>
      <c r="C17" s="4"/>
      <c r="D17" s="4"/>
      <c r="E17" s="5"/>
      <c r="F17" s="4"/>
      <c r="G17" s="6"/>
      <c r="H17" s="6"/>
      <c r="I17" s="6"/>
      <c r="J17" s="7" t="str">
        <f aca="false">IF(AND(ISNUMBER(G17),ISNUMBER(I17)),I17-G17,"")</f>
        <v/>
      </c>
      <c r="K17" s="4"/>
      <c r="L17" s="4"/>
    </row>
    <row r="18" customFormat="false" ht="15" hidden="false" customHeight="false" outlineLevel="0" collapsed="false">
      <c r="A18" s="8"/>
      <c r="B18" s="8"/>
      <c r="C18" s="8"/>
      <c r="D18" s="8"/>
      <c r="E18" s="9"/>
      <c r="F18" s="8"/>
      <c r="G18" s="10"/>
      <c r="H18" s="10"/>
      <c r="I18" s="10"/>
      <c r="J18" s="11" t="str">
        <f aca="false">IF(AND(ISNUMBER(G18),ISNUMBER(I18)),I18-G18,"")</f>
        <v/>
      </c>
      <c r="K18" s="8"/>
      <c r="L18" s="8"/>
    </row>
  </sheetData>
  <mergeCells count="2">
    <mergeCell ref="A1:L1"/>
    <mergeCell ref="A2:L2"/>
  </mergeCells>
  <dataValidations count="1">
    <dataValidation allowBlank="true" errorStyle="stop" operator="between" showDropDown="false" showErrorMessage="false" showInputMessage="false" sqref="K4:K18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40"/>
  </cols>
  <sheetData>
    <row r="1" customFormat="false" ht="37.5" hidden="false" customHeight="true" outlineLevel="0" collapsed="false">
      <c r="A1" s="1" t="s">
        <v>19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20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</row>
    <row r="4" customFormat="false" ht="23.85" hidden="false" customHeight="false" outlineLevel="0" collapsed="false">
      <c r="A4" s="8" t="s">
        <v>29</v>
      </c>
      <c r="B4" s="8" t="s">
        <v>30</v>
      </c>
      <c r="C4" s="12"/>
      <c r="D4" s="12"/>
      <c r="E4" s="12"/>
      <c r="F4" s="12"/>
      <c r="G4" s="12"/>
      <c r="H4" s="13" t="str">
        <f aca="false">IF(COUNT(C4:G4)=5,(C4*2)+D4+E4+F4+G4,"")</f>
        <v/>
      </c>
      <c r="I4" s="14" t="str">
        <f aca="false">IF(H4="","",IF(H4&gt;=38,"GREEN — order",IF(H4&gt;=28,"YELLOW — revise","RED — drop")))</f>
        <v/>
      </c>
      <c r="J4" s="8"/>
    </row>
    <row r="5" customFormat="false" ht="15" hidden="false" customHeight="false" outlineLevel="0" collapsed="false">
      <c r="A5" s="4" t="s">
        <v>31</v>
      </c>
      <c r="B5" s="4" t="s">
        <v>32</v>
      </c>
      <c r="C5" s="15"/>
      <c r="D5" s="15"/>
      <c r="E5" s="15"/>
      <c r="F5" s="15"/>
      <c r="G5" s="15"/>
      <c r="H5" s="16" t="str">
        <f aca="false">IF(COUNT(C5:G5)=5,(C5*2)+D5+E5+F5+G5,"")</f>
        <v/>
      </c>
      <c r="I5" s="17" t="str">
        <f aca="false">IF(H5="","",IF(H5&gt;=38,"GREEN — order",IF(H5&gt;=28,"YELLOW — revise","RED — drop")))</f>
        <v/>
      </c>
      <c r="J5" s="4"/>
    </row>
    <row r="6" customFormat="false" ht="15" hidden="false" customHeight="false" outlineLevel="0" collapsed="false">
      <c r="A6" s="8" t="s">
        <v>33</v>
      </c>
      <c r="B6" s="8" t="s">
        <v>34</v>
      </c>
      <c r="C6" s="12"/>
      <c r="D6" s="12"/>
      <c r="E6" s="12"/>
      <c r="F6" s="12"/>
      <c r="G6" s="12"/>
      <c r="H6" s="13" t="str">
        <f aca="false">IF(COUNT(C6:G6)=5,(C6*2)+D6+E6+F6+G6,"")</f>
        <v/>
      </c>
      <c r="I6" s="14" t="str">
        <f aca="false">IF(H6="","",IF(H6&gt;=38,"GREEN — order",IF(H6&gt;=28,"YELLOW — revise","RED — drop")))</f>
        <v/>
      </c>
      <c r="J6" s="8"/>
    </row>
    <row r="7" customFormat="false" ht="15" hidden="false" customHeight="false" outlineLevel="0" collapsed="false">
      <c r="A7" s="4" t="s">
        <v>35</v>
      </c>
      <c r="B7" s="4" t="s">
        <v>36</v>
      </c>
      <c r="C7" s="15"/>
      <c r="D7" s="15"/>
      <c r="E7" s="15"/>
      <c r="F7" s="15"/>
      <c r="G7" s="15"/>
      <c r="H7" s="16" t="str">
        <f aca="false">IF(COUNT(C7:G7)=5,(C7*2)+D7+E7+F7+G7,"")</f>
        <v/>
      </c>
      <c r="I7" s="17" t="str">
        <f aca="false">IF(H7="","",IF(H7&gt;=38,"GREEN — order",IF(H7&gt;=28,"YELLOW — revise","RED — drop")))</f>
        <v/>
      </c>
      <c r="J7" s="4"/>
    </row>
    <row r="8" customFormat="false" ht="15" hidden="false" customHeight="false" outlineLevel="0" collapsed="false">
      <c r="A8" s="8" t="s">
        <v>37</v>
      </c>
      <c r="B8" s="8" t="s">
        <v>38</v>
      </c>
      <c r="C8" s="12"/>
      <c r="D8" s="12"/>
      <c r="E8" s="12"/>
      <c r="F8" s="12"/>
      <c r="G8" s="12"/>
      <c r="H8" s="13" t="str">
        <f aca="false">IF(COUNT(C8:G8)=5,(C8*2)+D8+E8+F8+G8,"")</f>
        <v/>
      </c>
      <c r="I8" s="14" t="str">
        <f aca="false">IF(H8="","",IF(H8&gt;=38,"GREEN — order",IF(H8&gt;=28,"YELLOW — revise","RED — drop")))</f>
        <v/>
      </c>
      <c r="J8" s="8"/>
    </row>
    <row r="9" customFormat="false" ht="15" hidden="false" customHeight="false" outlineLevel="0" collapsed="false">
      <c r="A9" s="4" t="s">
        <v>39</v>
      </c>
      <c r="B9" s="4" t="s">
        <v>40</v>
      </c>
      <c r="C9" s="15"/>
      <c r="D9" s="15"/>
      <c r="E9" s="15"/>
      <c r="F9" s="15"/>
      <c r="G9" s="15"/>
      <c r="H9" s="16" t="str">
        <f aca="false">IF(COUNT(C9:G9)=5,(C9*2)+D9+E9+F9+G9,"")</f>
        <v/>
      </c>
      <c r="I9" s="17" t="str">
        <f aca="false">IF(H9="","",IF(H9&gt;=38,"GREEN — order",IF(H9&gt;=28,"YELLOW — revise","RED — drop")))</f>
        <v/>
      </c>
      <c r="J9" s="4"/>
    </row>
    <row r="11" customFormat="false" ht="15" hidden="false" customHeight="false" outlineLevel="0" collapsed="false">
      <c r="A11" s="18" t="s">
        <v>41</v>
      </c>
    </row>
    <row r="12" customFormat="false" ht="15" hidden="false" customHeight="false" outlineLevel="0" collapsed="false">
      <c r="A12" s="19" t="s">
        <v>42</v>
      </c>
      <c r="B12" s="0" t="s">
        <v>43</v>
      </c>
    </row>
    <row r="13" customFormat="false" ht="15" hidden="false" customHeight="false" outlineLevel="0" collapsed="false">
      <c r="A13" s="19" t="s">
        <v>44</v>
      </c>
      <c r="B13" s="0" t="s">
        <v>45</v>
      </c>
    </row>
    <row r="14" customFormat="false" ht="15" hidden="false" customHeight="false" outlineLevel="0" collapsed="false">
      <c r="A14" s="19" t="s">
        <v>46</v>
      </c>
      <c r="B14" s="0" t="s">
        <v>47</v>
      </c>
    </row>
    <row r="15" customFormat="false" ht="15" hidden="false" customHeight="false" outlineLevel="0" collapsed="false">
      <c r="A15" s="19" t="s">
        <v>48</v>
      </c>
      <c r="B15" s="0" t="s">
        <v>49</v>
      </c>
    </row>
    <row r="16" customFormat="false" ht="15" hidden="false" customHeight="false" outlineLevel="0" collapsed="false">
      <c r="A16" s="19" t="s">
        <v>50</v>
      </c>
      <c r="B16" s="0" t="s">
        <v>51</v>
      </c>
    </row>
    <row r="18" customFormat="false" ht="15" hidden="false" customHeight="false" outlineLevel="0" collapsed="false">
      <c r="A18" s="18" t="s">
        <v>52</v>
      </c>
    </row>
    <row r="19" customFormat="false" ht="15" hidden="false" customHeight="false" outlineLevel="0" collapsed="false">
      <c r="A19" s="20" t="s">
        <v>53</v>
      </c>
      <c r="B19" s="0" t="s">
        <v>54</v>
      </c>
    </row>
    <row r="20" customFormat="false" ht="15" hidden="false" customHeight="false" outlineLevel="0" collapsed="false">
      <c r="A20" s="21" t="s">
        <v>55</v>
      </c>
      <c r="B20" s="0" t="s">
        <v>56</v>
      </c>
    </row>
    <row r="21" customFormat="false" ht="15" hidden="false" customHeight="false" outlineLevel="0" collapsed="false">
      <c r="A21" s="22" t="s">
        <v>57</v>
      </c>
      <c r="B21" s="0" t="s">
        <v>58</v>
      </c>
    </row>
  </sheetData>
  <mergeCells count="2">
    <mergeCell ref="A1:J1"/>
    <mergeCell ref="A2:J2"/>
  </mergeCells>
  <conditionalFormatting sqref="I4:I9">
    <cfRule type="expression" priority="2" aboveAverage="0" equalAverage="0" bottom="0" percent="0" rank="0" text="" dxfId="0">
      <formula>LEFT(I4,5)="GREEN"</formula>
    </cfRule>
    <cfRule type="expression" priority="3" aboveAverage="0" equalAverage="0" bottom="0" percent="0" rank="0" text="" dxfId="1">
      <formula>LEFT(I4,6)="YELLOW"</formula>
    </cfRule>
    <cfRule type="expression" priority="4" aboveAverage="0" equalAverage="0" bottom="0" percent="0" rank="0" text="" dxfId="2">
      <formula>LEFT(I4,3)="RED"</formula>
    </cfRule>
  </conditionalFormatting>
  <dataValidations count="1">
    <dataValidation allowBlank="true" error="Enter a whole number between 1 and 10" errorStyle="stop" errorTitle="Score 1-10" operator="between" showDropDown="false" showErrorMessage="false" showInputMessage="false" sqref="C4:G9" type="whole">
      <formula1>1</formula1>
      <formula2>10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2"/>
    <col collapsed="false" customWidth="true" hidden="false" outlineLevel="0" max="3" min="3" style="0" width="48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36"/>
  </cols>
  <sheetData>
    <row r="1" customFormat="false" ht="37.5" hidden="false" customHeight="true" outlineLevel="0" collapsed="false">
      <c r="A1" s="1" t="s">
        <v>59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60</v>
      </c>
      <c r="B2" s="2"/>
      <c r="C2" s="2"/>
      <c r="D2" s="2"/>
      <c r="E2" s="2"/>
      <c r="F2" s="2"/>
    </row>
    <row r="3" customFormat="false" ht="27.75" hidden="false" customHeight="true" outlineLevel="0" collapsed="false">
      <c r="A3" s="3" t="s">
        <v>61</v>
      </c>
      <c r="B3" s="3" t="s">
        <v>62</v>
      </c>
      <c r="C3" s="3" t="s">
        <v>63</v>
      </c>
      <c r="D3" s="3" t="s">
        <v>64</v>
      </c>
      <c r="E3" s="3" t="s">
        <v>65</v>
      </c>
      <c r="F3" s="3" t="s">
        <v>66</v>
      </c>
    </row>
    <row r="4" customFormat="false" ht="15" hidden="false" customHeight="false" outlineLevel="0" collapsed="false">
      <c r="A4" s="23" t="s">
        <v>67</v>
      </c>
      <c r="B4" s="23"/>
      <c r="C4" s="23"/>
      <c r="D4" s="23"/>
      <c r="E4" s="23"/>
      <c r="F4" s="23"/>
    </row>
    <row r="5" customFormat="false" ht="15" hidden="false" customHeight="false" outlineLevel="0" collapsed="false">
      <c r="A5" s="4"/>
      <c r="B5" s="4" t="s">
        <v>68</v>
      </c>
      <c r="C5" s="4" t="s">
        <v>69</v>
      </c>
      <c r="D5" s="4" t="s">
        <v>70</v>
      </c>
      <c r="E5" s="4"/>
      <c r="F5" s="4"/>
    </row>
    <row r="6" customFormat="false" ht="15" hidden="false" customHeight="false" outlineLevel="0" collapsed="false">
      <c r="A6" s="4"/>
      <c r="B6" s="4" t="s">
        <v>71</v>
      </c>
      <c r="C6" s="4" t="s">
        <v>72</v>
      </c>
      <c r="D6" s="4" t="s">
        <v>73</v>
      </c>
      <c r="E6" s="4"/>
      <c r="F6" s="4"/>
    </row>
    <row r="7" customFormat="false" ht="15" hidden="false" customHeight="false" outlineLevel="0" collapsed="false">
      <c r="A7" s="4"/>
      <c r="B7" s="4" t="s">
        <v>74</v>
      </c>
      <c r="C7" s="4" t="s">
        <v>75</v>
      </c>
      <c r="D7" s="4" t="s">
        <v>76</v>
      </c>
      <c r="E7" s="4"/>
      <c r="F7" s="4"/>
    </row>
    <row r="8" customFormat="false" ht="15" hidden="false" customHeight="false" outlineLevel="0" collapsed="false">
      <c r="A8" s="4"/>
      <c r="B8" s="4" t="s">
        <v>77</v>
      </c>
      <c r="C8" s="4" t="s">
        <v>78</v>
      </c>
      <c r="D8" s="4" t="s">
        <v>79</v>
      </c>
      <c r="E8" s="4"/>
      <c r="F8" s="4"/>
    </row>
    <row r="9" customFormat="false" ht="23.85" hidden="false" customHeight="false" outlineLevel="0" collapsed="false">
      <c r="A9" s="4"/>
      <c r="B9" s="4" t="s">
        <v>80</v>
      </c>
      <c r="C9" s="4" t="s">
        <v>81</v>
      </c>
      <c r="D9" s="4" t="s">
        <v>82</v>
      </c>
      <c r="E9" s="4"/>
      <c r="F9" s="4"/>
    </row>
    <row r="10" customFormat="false" ht="15" hidden="false" customHeight="false" outlineLevel="0" collapsed="false">
      <c r="A10" s="4"/>
      <c r="B10" s="4" t="s">
        <v>83</v>
      </c>
      <c r="C10" s="4" t="s">
        <v>84</v>
      </c>
      <c r="D10" s="4" t="s">
        <v>85</v>
      </c>
      <c r="E10" s="4"/>
      <c r="F10" s="4"/>
    </row>
    <row r="11" customFormat="false" ht="15" hidden="false" customHeight="false" outlineLevel="0" collapsed="false">
      <c r="A11" s="4"/>
      <c r="B11" s="4" t="s">
        <v>86</v>
      </c>
      <c r="C11" s="4" t="s">
        <v>87</v>
      </c>
      <c r="D11" s="4" t="s">
        <v>88</v>
      </c>
      <c r="E11" s="4"/>
      <c r="F11" s="4"/>
    </row>
    <row r="12" customFormat="false" ht="15" hidden="false" customHeight="false" outlineLevel="0" collapsed="false">
      <c r="A12" s="23" t="s">
        <v>89</v>
      </c>
      <c r="B12" s="23"/>
      <c r="C12" s="23"/>
      <c r="D12" s="23"/>
      <c r="E12" s="23"/>
      <c r="F12" s="23"/>
    </row>
    <row r="13" customFormat="false" ht="23.85" hidden="false" customHeight="false" outlineLevel="0" collapsed="false">
      <c r="A13" s="4"/>
      <c r="B13" s="4" t="s">
        <v>90</v>
      </c>
      <c r="C13" s="4" t="s">
        <v>91</v>
      </c>
      <c r="D13" s="4" t="s">
        <v>92</v>
      </c>
      <c r="E13" s="4"/>
      <c r="F13" s="4"/>
    </row>
    <row r="14" customFormat="false" ht="15" hidden="false" customHeight="false" outlineLevel="0" collapsed="false">
      <c r="A14" s="4"/>
      <c r="B14" s="4" t="s">
        <v>93</v>
      </c>
      <c r="C14" s="4" t="s">
        <v>94</v>
      </c>
      <c r="D14" s="4" t="s">
        <v>95</v>
      </c>
      <c r="E14" s="4"/>
      <c r="F14" s="4"/>
    </row>
    <row r="15" customFormat="false" ht="15" hidden="false" customHeight="false" outlineLevel="0" collapsed="false">
      <c r="A15" s="4"/>
      <c r="B15" s="4" t="s">
        <v>96</v>
      </c>
      <c r="C15" s="4" t="s">
        <v>97</v>
      </c>
      <c r="D15" s="4" t="s">
        <v>98</v>
      </c>
      <c r="E15" s="4"/>
      <c r="F15" s="4"/>
    </row>
    <row r="16" customFormat="false" ht="15" hidden="false" customHeight="false" outlineLevel="0" collapsed="false">
      <c r="A16" s="4"/>
      <c r="B16" s="4" t="s">
        <v>99</v>
      </c>
      <c r="C16" s="4" t="s">
        <v>100</v>
      </c>
      <c r="D16" s="4" t="s">
        <v>101</v>
      </c>
      <c r="E16" s="4"/>
      <c r="F16" s="4"/>
    </row>
    <row r="17" customFormat="false" ht="15" hidden="false" customHeight="false" outlineLevel="0" collapsed="false">
      <c r="A17" s="4"/>
      <c r="B17" s="4" t="s">
        <v>102</v>
      </c>
      <c r="C17" s="4" t="s">
        <v>103</v>
      </c>
      <c r="D17" s="4" t="s">
        <v>104</v>
      </c>
      <c r="E17" s="4"/>
      <c r="F17" s="4"/>
    </row>
    <row r="18" customFormat="false" ht="15" hidden="false" customHeight="false" outlineLevel="0" collapsed="false">
      <c r="A18" s="4"/>
      <c r="B18" s="4" t="s">
        <v>105</v>
      </c>
      <c r="C18" s="4" t="s">
        <v>106</v>
      </c>
      <c r="D18" s="4" t="s">
        <v>107</v>
      </c>
      <c r="E18" s="4"/>
      <c r="F18" s="4"/>
    </row>
    <row r="19" customFormat="false" ht="15" hidden="false" customHeight="false" outlineLevel="0" collapsed="false">
      <c r="A19" s="23" t="s">
        <v>108</v>
      </c>
      <c r="B19" s="23"/>
      <c r="C19" s="23"/>
      <c r="D19" s="23"/>
      <c r="E19" s="23"/>
      <c r="F19" s="23"/>
    </row>
    <row r="20" customFormat="false" ht="15" hidden="false" customHeight="false" outlineLevel="0" collapsed="false">
      <c r="A20" s="4"/>
      <c r="B20" s="4" t="s">
        <v>109</v>
      </c>
      <c r="C20" s="4" t="s">
        <v>110</v>
      </c>
      <c r="D20" s="4" t="s">
        <v>111</v>
      </c>
      <c r="E20" s="4"/>
      <c r="F20" s="4"/>
    </row>
    <row r="21" customFormat="false" ht="23.85" hidden="false" customHeight="false" outlineLevel="0" collapsed="false">
      <c r="A21" s="4"/>
      <c r="B21" s="4" t="s">
        <v>112</v>
      </c>
      <c r="C21" s="4" t="s">
        <v>113</v>
      </c>
      <c r="D21" s="4" t="s">
        <v>114</v>
      </c>
      <c r="E21" s="4"/>
      <c r="F21" s="4"/>
    </row>
    <row r="22" customFormat="false" ht="15" hidden="false" customHeight="false" outlineLevel="0" collapsed="false">
      <c r="A22" s="4"/>
      <c r="B22" s="4" t="s">
        <v>115</v>
      </c>
      <c r="C22" s="4" t="s">
        <v>116</v>
      </c>
      <c r="D22" s="4" t="s">
        <v>117</v>
      </c>
      <c r="E22" s="4"/>
      <c r="F22" s="4"/>
    </row>
    <row r="23" customFormat="false" ht="15" hidden="false" customHeight="false" outlineLevel="0" collapsed="false">
      <c r="A23" s="4"/>
      <c r="B23" s="4" t="s">
        <v>86</v>
      </c>
      <c r="C23" s="4" t="s">
        <v>118</v>
      </c>
      <c r="D23" s="4" t="s">
        <v>119</v>
      </c>
      <c r="E23" s="4"/>
      <c r="F23" s="4"/>
    </row>
    <row r="24" customFormat="false" ht="15" hidden="false" customHeight="false" outlineLevel="0" collapsed="false">
      <c r="A24" s="4"/>
      <c r="B24" s="4" t="s">
        <v>120</v>
      </c>
      <c r="C24" s="4" t="s">
        <v>121</v>
      </c>
      <c r="D24" s="4" t="s">
        <v>122</v>
      </c>
      <c r="E24" s="4"/>
      <c r="F24" s="4"/>
    </row>
    <row r="25" customFormat="false" ht="15" hidden="false" customHeight="false" outlineLevel="0" collapsed="false">
      <c r="A25" s="4"/>
      <c r="B25" s="4" t="s">
        <v>123</v>
      </c>
      <c r="C25" s="4" t="s">
        <v>124</v>
      </c>
      <c r="D25" s="4" t="s">
        <v>125</v>
      </c>
      <c r="E25" s="4"/>
      <c r="F25" s="4"/>
    </row>
    <row r="26" customFormat="false" ht="15" hidden="false" customHeight="false" outlineLevel="0" collapsed="false">
      <c r="A26" s="23" t="s">
        <v>36</v>
      </c>
      <c r="B26" s="23"/>
      <c r="C26" s="23"/>
      <c r="D26" s="23"/>
      <c r="E26" s="23"/>
      <c r="F26" s="23"/>
    </row>
    <row r="27" customFormat="false" ht="15" hidden="false" customHeight="false" outlineLevel="0" collapsed="false">
      <c r="A27" s="4"/>
      <c r="B27" s="4" t="s">
        <v>86</v>
      </c>
      <c r="C27" s="4" t="s">
        <v>126</v>
      </c>
      <c r="D27" s="4" t="s">
        <v>127</v>
      </c>
      <c r="E27" s="4"/>
      <c r="F27" s="4"/>
    </row>
    <row r="28" customFormat="false" ht="15" hidden="false" customHeight="false" outlineLevel="0" collapsed="false">
      <c r="A28" s="4"/>
      <c r="B28" s="4" t="s">
        <v>128</v>
      </c>
      <c r="C28" s="4" t="s">
        <v>129</v>
      </c>
      <c r="D28" s="4" t="s">
        <v>130</v>
      </c>
      <c r="E28" s="4"/>
      <c r="F28" s="4"/>
    </row>
    <row r="29" customFormat="false" ht="15" hidden="false" customHeight="false" outlineLevel="0" collapsed="false">
      <c r="A29" s="4"/>
      <c r="B29" s="4" t="s">
        <v>131</v>
      </c>
      <c r="C29" s="4" t="s">
        <v>132</v>
      </c>
      <c r="D29" s="4" t="s">
        <v>133</v>
      </c>
      <c r="E29" s="4"/>
      <c r="F29" s="4"/>
    </row>
    <row r="30" customFormat="false" ht="15" hidden="false" customHeight="false" outlineLevel="0" collapsed="false">
      <c r="A30" s="4"/>
      <c r="B30" s="4" t="s">
        <v>134</v>
      </c>
      <c r="C30" s="4" t="s">
        <v>135</v>
      </c>
      <c r="D30" s="4" t="s">
        <v>136</v>
      </c>
      <c r="E30" s="4"/>
      <c r="F30" s="4"/>
    </row>
    <row r="31" customFormat="false" ht="23.85" hidden="false" customHeight="false" outlineLevel="0" collapsed="false">
      <c r="A31" s="4"/>
      <c r="B31" s="4" t="s">
        <v>137</v>
      </c>
      <c r="C31" s="4" t="s">
        <v>138</v>
      </c>
      <c r="D31" s="4" t="s">
        <v>139</v>
      </c>
      <c r="E31" s="4"/>
      <c r="F31" s="4"/>
    </row>
    <row r="32" customFormat="false" ht="15" hidden="false" customHeight="false" outlineLevel="0" collapsed="false">
      <c r="A32" s="23" t="s">
        <v>140</v>
      </c>
      <c r="B32" s="23"/>
      <c r="C32" s="23"/>
      <c r="D32" s="23"/>
      <c r="E32" s="23"/>
      <c r="F32" s="23"/>
    </row>
    <row r="33" customFormat="false" ht="15" hidden="false" customHeight="false" outlineLevel="0" collapsed="false">
      <c r="A33" s="4"/>
      <c r="B33" s="4" t="s">
        <v>141</v>
      </c>
      <c r="C33" s="4" t="s">
        <v>142</v>
      </c>
      <c r="D33" s="4" t="s">
        <v>143</v>
      </c>
      <c r="E33" s="4"/>
      <c r="F33" s="4"/>
    </row>
    <row r="34" customFormat="false" ht="15" hidden="false" customHeight="false" outlineLevel="0" collapsed="false">
      <c r="A34" s="4"/>
      <c r="B34" s="4" t="s">
        <v>144</v>
      </c>
      <c r="C34" s="4" t="s">
        <v>145</v>
      </c>
      <c r="D34" s="4" t="s">
        <v>146</v>
      </c>
      <c r="E34" s="4"/>
      <c r="F34" s="4"/>
    </row>
    <row r="35" customFormat="false" ht="15" hidden="false" customHeight="false" outlineLevel="0" collapsed="false">
      <c r="A35" s="4"/>
      <c r="B35" s="4" t="s">
        <v>147</v>
      </c>
      <c r="C35" s="4" t="s">
        <v>148</v>
      </c>
      <c r="D35" s="4" t="s">
        <v>149</v>
      </c>
      <c r="E35" s="4"/>
      <c r="F35" s="4"/>
    </row>
    <row r="36" customFormat="false" ht="15" hidden="false" customHeight="false" outlineLevel="0" collapsed="false">
      <c r="A36" s="4"/>
      <c r="B36" s="4" t="s">
        <v>150</v>
      </c>
      <c r="C36" s="4" t="s">
        <v>151</v>
      </c>
      <c r="D36" s="4" t="s">
        <v>152</v>
      </c>
      <c r="E36" s="4"/>
      <c r="F36" s="4"/>
    </row>
    <row r="37" customFormat="false" ht="15" hidden="false" customHeight="false" outlineLevel="0" collapsed="false">
      <c r="A37" s="4"/>
      <c r="B37" s="4" t="s">
        <v>153</v>
      </c>
      <c r="C37" s="4" t="s">
        <v>154</v>
      </c>
      <c r="D37" s="4" t="s">
        <v>155</v>
      </c>
      <c r="E37" s="4"/>
      <c r="F37" s="4"/>
    </row>
    <row r="38" customFormat="false" ht="15" hidden="false" customHeight="false" outlineLevel="0" collapsed="false">
      <c r="A38" s="23" t="s">
        <v>156</v>
      </c>
      <c r="B38" s="23"/>
      <c r="C38" s="23"/>
      <c r="D38" s="23"/>
      <c r="E38" s="23"/>
      <c r="F38" s="23"/>
    </row>
    <row r="39" customFormat="false" ht="15" hidden="false" customHeight="false" outlineLevel="0" collapsed="false">
      <c r="A39" s="4"/>
      <c r="B39" s="4" t="s">
        <v>157</v>
      </c>
      <c r="C39" s="4" t="s">
        <v>158</v>
      </c>
      <c r="D39" s="4" t="s">
        <v>159</v>
      </c>
      <c r="E39" s="4"/>
      <c r="F39" s="4"/>
    </row>
    <row r="40" customFormat="false" ht="15" hidden="false" customHeight="false" outlineLevel="0" collapsed="false">
      <c r="A40" s="4"/>
      <c r="B40" s="4" t="s">
        <v>160</v>
      </c>
      <c r="C40" s="4" t="s">
        <v>161</v>
      </c>
      <c r="D40" s="4" t="s">
        <v>162</v>
      </c>
      <c r="E40" s="4"/>
      <c r="F40" s="4"/>
    </row>
    <row r="41" customFormat="false" ht="15" hidden="false" customHeight="false" outlineLevel="0" collapsed="false">
      <c r="A41" s="4"/>
      <c r="B41" s="4" t="s">
        <v>163</v>
      </c>
      <c r="C41" s="4" t="s">
        <v>164</v>
      </c>
      <c r="D41" s="4" t="s">
        <v>165</v>
      </c>
      <c r="E41" s="4"/>
      <c r="F41" s="4"/>
    </row>
    <row r="42" customFormat="false" ht="15" hidden="false" customHeight="false" outlineLevel="0" collapsed="false">
      <c r="A42" s="4"/>
      <c r="B42" s="4" t="s">
        <v>166</v>
      </c>
      <c r="C42" s="4" t="s">
        <v>167</v>
      </c>
      <c r="D42" s="4" t="s">
        <v>168</v>
      </c>
      <c r="E42" s="4"/>
      <c r="F42" s="4"/>
    </row>
  </sheetData>
  <mergeCells count="8">
    <mergeCell ref="A1:F1"/>
    <mergeCell ref="A2:F2"/>
    <mergeCell ref="A4:F4"/>
    <mergeCell ref="A12:F12"/>
    <mergeCell ref="A19:F19"/>
    <mergeCell ref="A26:F26"/>
    <mergeCell ref="A32:F32"/>
    <mergeCell ref="A38:F38"/>
  </mergeCells>
  <conditionalFormatting sqref="E4:E42">
    <cfRule type="expression" priority="2" aboveAverage="0" equalAverage="0" bottom="0" percent="0" rank="0" text="" dxfId="0">
      <formula>E4="P"</formula>
    </cfRule>
    <cfRule type="expression" priority="3" aboveAverage="0" equalAverage="0" bottom="0" percent="0" rank="0" text="" dxfId="2">
      <formula>E4="F"</formula>
    </cfRule>
    <cfRule type="expression" priority="4" aboveAverage="0" equalAverage="0" bottom="0" percent="0" rank="0" text="" dxfId="3">
      <formula>E4="N/A"</formula>
    </cfRule>
  </conditionalFormatting>
  <dataValidations count="1">
    <dataValidation allowBlank="true" errorStyle="stop" operator="between" showDropDown="false" showErrorMessage="false" showInputMessage="false" sqref="E4:E42" type="list">
      <formula1>"P,F,N/A"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9" min="8" style="0" width="16"/>
    <col collapsed="false" customWidth="true" hidden="false" outlineLevel="0" max="10" min="10" style="0" width="18"/>
    <col collapsed="false" customWidth="true" hidden="false" outlineLevel="0" max="12" min="11" style="0" width="14"/>
    <col collapsed="false" customWidth="true" hidden="false" outlineLevel="0" max="13" min="13" style="0" width="18"/>
    <col collapsed="false" customWidth="true" hidden="false" outlineLevel="0" max="14" min="14" style="0" width="10"/>
    <col collapsed="false" customWidth="true" hidden="false" outlineLevel="0" max="15" min="15" style="0" width="18"/>
    <col collapsed="false" customWidth="true" hidden="false" outlineLevel="0" max="16" min="16" style="0" width="30"/>
  </cols>
  <sheetData>
    <row r="1" customFormat="false" ht="37.5" hidden="false" customHeight="true" outlineLevel="0" collapsed="false">
      <c r="A1" s="1" t="s">
        <v>169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1.75" hidden="false" customHeight="true" outlineLevel="0" collapsed="false">
      <c r="A2" s="2" t="s">
        <v>170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27.75" hidden="false" customHeight="true" outlineLevel="0" collapsed="false">
      <c r="A3" s="3" t="s">
        <v>171</v>
      </c>
      <c r="B3" s="3" t="s">
        <v>2</v>
      </c>
      <c r="C3" s="3" t="s">
        <v>3</v>
      </c>
      <c r="D3" s="3" t="s">
        <v>172</v>
      </c>
      <c r="E3" s="3" t="s">
        <v>173</v>
      </c>
      <c r="F3" s="3" t="s">
        <v>174</v>
      </c>
      <c r="G3" s="3" t="s">
        <v>5</v>
      </c>
      <c r="H3" s="3" t="s">
        <v>175</v>
      </c>
      <c r="I3" s="3" t="s">
        <v>176</v>
      </c>
      <c r="J3" s="3" t="s">
        <v>177</v>
      </c>
      <c r="K3" s="3" t="s">
        <v>178</v>
      </c>
      <c r="L3" s="3" t="s">
        <v>179</v>
      </c>
      <c r="M3" s="3" t="s">
        <v>180</v>
      </c>
      <c r="N3" s="3" t="s">
        <v>181</v>
      </c>
      <c r="O3" s="3" t="s">
        <v>182</v>
      </c>
      <c r="P3" s="3" t="s">
        <v>66</v>
      </c>
    </row>
    <row r="4" customFormat="false" ht="15" hidden="false" customHeight="false" outlineLevel="0" collapsed="false">
      <c r="A4" s="10"/>
      <c r="B4" s="8"/>
      <c r="C4" s="8"/>
      <c r="D4" s="12"/>
      <c r="E4" s="9"/>
      <c r="F4" s="9" t="str">
        <f aca="false">IF(AND(ISNUMBER(D4),ISNUMBER(E4)),D4*E4,"")</f>
        <v/>
      </c>
      <c r="G4" s="8"/>
      <c r="H4" s="10"/>
      <c r="I4" s="10"/>
      <c r="J4" s="10"/>
      <c r="K4" s="10"/>
      <c r="L4" s="9"/>
      <c r="M4" s="9" t="str">
        <f aca="false">IF(AND(ISNUMBER(L4),ISNUMBER(E4)),L4-E4,"")</f>
        <v/>
      </c>
      <c r="N4" s="24" t="str">
        <f aca="false">IF(AND(ISNUMBER(L4),L4&gt;0,ISNUMBER(E4)),(L4-E4)/L4,"")</f>
        <v/>
      </c>
      <c r="O4" s="8"/>
      <c r="P4" s="8"/>
    </row>
    <row r="5" customFormat="false" ht="15" hidden="false" customHeight="false" outlineLevel="0" collapsed="false">
      <c r="A5" s="6"/>
      <c r="B5" s="4"/>
      <c r="C5" s="4"/>
      <c r="D5" s="15"/>
      <c r="E5" s="5"/>
      <c r="F5" s="5" t="str">
        <f aca="false">IF(AND(ISNUMBER(D5),ISNUMBER(E5)),D5*E5,"")</f>
        <v/>
      </c>
      <c r="G5" s="4"/>
      <c r="H5" s="6"/>
      <c r="I5" s="6"/>
      <c r="J5" s="6"/>
      <c r="K5" s="6"/>
      <c r="L5" s="5"/>
      <c r="M5" s="5" t="str">
        <f aca="false">IF(AND(ISNUMBER(L5),ISNUMBER(E5)),L5-E5,"")</f>
        <v/>
      </c>
      <c r="N5" s="25" t="str">
        <f aca="false">IF(AND(ISNUMBER(L5),L5&gt;0,ISNUMBER(E5)),(L5-E5)/L5,"")</f>
        <v/>
      </c>
      <c r="O5" s="4"/>
      <c r="P5" s="4"/>
    </row>
    <row r="6" customFormat="false" ht="15" hidden="false" customHeight="false" outlineLevel="0" collapsed="false">
      <c r="A6" s="10"/>
      <c r="B6" s="8"/>
      <c r="C6" s="8"/>
      <c r="D6" s="12"/>
      <c r="E6" s="9"/>
      <c r="F6" s="9" t="str">
        <f aca="false">IF(AND(ISNUMBER(D6),ISNUMBER(E6)),D6*E6,"")</f>
        <v/>
      </c>
      <c r="G6" s="8"/>
      <c r="H6" s="10"/>
      <c r="I6" s="10"/>
      <c r="J6" s="10"/>
      <c r="K6" s="10"/>
      <c r="L6" s="9"/>
      <c r="M6" s="9" t="str">
        <f aca="false">IF(AND(ISNUMBER(L6),ISNUMBER(E6)),L6-E6,"")</f>
        <v/>
      </c>
      <c r="N6" s="24" t="str">
        <f aca="false">IF(AND(ISNUMBER(L6),L6&gt;0,ISNUMBER(E6)),(L6-E6)/L6,"")</f>
        <v/>
      </c>
      <c r="O6" s="8"/>
      <c r="P6" s="8"/>
    </row>
    <row r="7" customFormat="false" ht="15" hidden="false" customHeight="false" outlineLevel="0" collapsed="false">
      <c r="A7" s="6"/>
      <c r="B7" s="4"/>
      <c r="C7" s="4"/>
      <c r="D7" s="15"/>
      <c r="E7" s="5"/>
      <c r="F7" s="5" t="str">
        <f aca="false">IF(AND(ISNUMBER(D7),ISNUMBER(E7)),D7*E7,"")</f>
        <v/>
      </c>
      <c r="G7" s="4"/>
      <c r="H7" s="6"/>
      <c r="I7" s="6"/>
      <c r="J7" s="6"/>
      <c r="K7" s="6"/>
      <c r="L7" s="5"/>
      <c r="M7" s="5" t="str">
        <f aca="false">IF(AND(ISNUMBER(L7),ISNUMBER(E7)),L7-E7,"")</f>
        <v/>
      </c>
      <c r="N7" s="25" t="str">
        <f aca="false">IF(AND(ISNUMBER(L7),L7&gt;0,ISNUMBER(E7)),(L7-E7)/L7,"")</f>
        <v/>
      </c>
      <c r="O7" s="4"/>
      <c r="P7" s="4"/>
    </row>
    <row r="8" customFormat="false" ht="15" hidden="false" customHeight="false" outlineLevel="0" collapsed="false">
      <c r="A8" s="10"/>
      <c r="B8" s="8"/>
      <c r="C8" s="8"/>
      <c r="D8" s="12"/>
      <c r="E8" s="9"/>
      <c r="F8" s="9" t="str">
        <f aca="false">IF(AND(ISNUMBER(D8),ISNUMBER(E8)),D8*E8,"")</f>
        <v/>
      </c>
      <c r="G8" s="8"/>
      <c r="H8" s="10"/>
      <c r="I8" s="10"/>
      <c r="J8" s="10"/>
      <c r="K8" s="10"/>
      <c r="L8" s="9"/>
      <c r="M8" s="9" t="str">
        <f aca="false">IF(AND(ISNUMBER(L8),ISNUMBER(E8)),L8-E8,"")</f>
        <v/>
      </c>
      <c r="N8" s="24" t="str">
        <f aca="false">IF(AND(ISNUMBER(L8),L8&gt;0,ISNUMBER(E8)),(L8-E8)/L8,"")</f>
        <v/>
      </c>
      <c r="O8" s="8"/>
      <c r="P8" s="8"/>
    </row>
    <row r="9" customFormat="false" ht="15" hidden="false" customHeight="false" outlineLevel="0" collapsed="false">
      <c r="A9" s="6"/>
      <c r="B9" s="4"/>
      <c r="C9" s="4"/>
      <c r="D9" s="15"/>
      <c r="E9" s="5"/>
      <c r="F9" s="5" t="str">
        <f aca="false">IF(AND(ISNUMBER(D9),ISNUMBER(E9)),D9*E9,"")</f>
        <v/>
      </c>
      <c r="G9" s="4"/>
      <c r="H9" s="6"/>
      <c r="I9" s="6"/>
      <c r="J9" s="6"/>
      <c r="K9" s="6"/>
      <c r="L9" s="5"/>
      <c r="M9" s="5" t="str">
        <f aca="false">IF(AND(ISNUMBER(L9),ISNUMBER(E9)),L9-E9,"")</f>
        <v/>
      </c>
      <c r="N9" s="25" t="str">
        <f aca="false">IF(AND(ISNUMBER(L9),L9&gt;0,ISNUMBER(E9)),(L9-E9)/L9,"")</f>
        <v/>
      </c>
      <c r="O9" s="4"/>
      <c r="P9" s="4"/>
    </row>
    <row r="10" customFormat="false" ht="15" hidden="false" customHeight="false" outlineLevel="0" collapsed="false">
      <c r="A10" s="10"/>
      <c r="B10" s="8"/>
      <c r="C10" s="8"/>
      <c r="D10" s="12"/>
      <c r="E10" s="9"/>
      <c r="F10" s="9" t="str">
        <f aca="false">IF(AND(ISNUMBER(D10),ISNUMBER(E10)),D10*E10,"")</f>
        <v/>
      </c>
      <c r="G10" s="8"/>
      <c r="H10" s="10"/>
      <c r="I10" s="10"/>
      <c r="J10" s="10"/>
      <c r="K10" s="10"/>
      <c r="L10" s="9"/>
      <c r="M10" s="9" t="str">
        <f aca="false">IF(AND(ISNUMBER(L10),ISNUMBER(E10)),L10-E10,"")</f>
        <v/>
      </c>
      <c r="N10" s="24" t="str">
        <f aca="false">IF(AND(ISNUMBER(L10),L10&gt;0,ISNUMBER(E10)),(L10-E10)/L10,"")</f>
        <v/>
      </c>
      <c r="O10" s="8"/>
      <c r="P10" s="8"/>
    </row>
    <row r="11" customFormat="false" ht="15" hidden="false" customHeight="false" outlineLevel="0" collapsed="false">
      <c r="A11" s="6"/>
      <c r="B11" s="4"/>
      <c r="C11" s="4"/>
      <c r="D11" s="15"/>
      <c r="E11" s="5"/>
      <c r="F11" s="5" t="str">
        <f aca="false">IF(AND(ISNUMBER(D11),ISNUMBER(E11)),D11*E11,"")</f>
        <v/>
      </c>
      <c r="G11" s="4"/>
      <c r="H11" s="6"/>
      <c r="I11" s="6"/>
      <c r="J11" s="6"/>
      <c r="K11" s="6"/>
      <c r="L11" s="5"/>
      <c r="M11" s="5" t="str">
        <f aca="false">IF(AND(ISNUMBER(L11),ISNUMBER(E11)),L11-E11,"")</f>
        <v/>
      </c>
      <c r="N11" s="25" t="str">
        <f aca="false">IF(AND(ISNUMBER(L11),L11&gt;0,ISNUMBER(E11)),(L11-E11)/L11,"")</f>
        <v/>
      </c>
      <c r="O11" s="4"/>
      <c r="P11" s="4"/>
    </row>
    <row r="12" customFormat="false" ht="15" hidden="false" customHeight="false" outlineLevel="0" collapsed="false">
      <c r="A12" s="10"/>
      <c r="B12" s="8"/>
      <c r="C12" s="8"/>
      <c r="D12" s="12"/>
      <c r="E12" s="9"/>
      <c r="F12" s="9" t="str">
        <f aca="false">IF(AND(ISNUMBER(D12),ISNUMBER(E12)),D12*E12,"")</f>
        <v/>
      </c>
      <c r="G12" s="8"/>
      <c r="H12" s="10"/>
      <c r="I12" s="10"/>
      <c r="J12" s="10"/>
      <c r="K12" s="10"/>
      <c r="L12" s="9"/>
      <c r="M12" s="9" t="str">
        <f aca="false">IF(AND(ISNUMBER(L12),ISNUMBER(E12)),L12-E12,"")</f>
        <v/>
      </c>
      <c r="N12" s="24" t="str">
        <f aca="false">IF(AND(ISNUMBER(L12),L12&gt;0,ISNUMBER(E12)),(L12-E12)/L12,"")</f>
        <v/>
      </c>
      <c r="O12" s="8"/>
      <c r="P12" s="8"/>
    </row>
    <row r="13" customFormat="false" ht="15" hidden="false" customHeight="false" outlineLevel="0" collapsed="false">
      <c r="A13" s="6"/>
      <c r="B13" s="4"/>
      <c r="C13" s="4"/>
      <c r="D13" s="15"/>
      <c r="E13" s="5"/>
      <c r="F13" s="5" t="str">
        <f aca="false">IF(AND(ISNUMBER(D13),ISNUMBER(E13)),D13*E13,"")</f>
        <v/>
      </c>
      <c r="G13" s="4"/>
      <c r="H13" s="6"/>
      <c r="I13" s="6"/>
      <c r="J13" s="6"/>
      <c r="K13" s="6"/>
      <c r="L13" s="5"/>
      <c r="M13" s="5" t="str">
        <f aca="false">IF(AND(ISNUMBER(L13),ISNUMBER(E13)),L13-E13,"")</f>
        <v/>
      </c>
      <c r="N13" s="25" t="str">
        <f aca="false">IF(AND(ISNUMBER(L13),L13&gt;0,ISNUMBER(E13)),(L13-E13)/L13,"")</f>
        <v/>
      </c>
      <c r="O13" s="4"/>
      <c r="P13" s="4"/>
    </row>
  </sheetData>
  <mergeCells count="2">
    <mergeCell ref="A1:P1"/>
    <mergeCell ref="A2:P2"/>
  </mergeCells>
  <dataValidations count="1">
    <dataValidation allowBlank="true" errorStyle="stop" operator="between" showDropDown="false" showErrorMessage="false" showInputMessage="false" sqref="O4:O13" type="list">
      <formula1>"Order placed,In production,Shipped,In customs,Arrived,Listed on shop,Sold out,Reorder needed"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2026-05-11T19:14:09Z</dcterms:created>
  <dc:creator>openpyxl</dc:creator>
  <dc:description/>
  <dc:language>en-US</dc:language>
  <cp:lastModifiedBy/>
  <dcterms:modified xsi:type="dcterms:W3CDTF">2026-05-11T19:14:09Z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