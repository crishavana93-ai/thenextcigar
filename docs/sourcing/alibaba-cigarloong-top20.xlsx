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p 15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563C1"/>
      <sz val="11"/>
      <u val="single"/>
    </font>
    <font>
      <name val="Arial"/>
      <charset val="1"/>
      <family val="0"/>
      <color rgb="FF0000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7B2622"/>
        <bgColor rgb="FF993366"/>
      </patternFill>
    </fill>
    <fill>
      <patternFill patternType="solid">
        <fgColor rgb="FFF6EAD5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2" fontId="6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8" fillId="4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2" fontId="6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8" fillId="4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AD5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7B2622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libaba.com/product-detail/x_1601670610171.html" TargetMode="External" Id="rId1"/><Relationship Type="http://schemas.openxmlformats.org/officeDocument/2006/relationships/hyperlink" Target="https://www.alibaba.com/product-detail/x_1601741886735.html" TargetMode="External" Id="rId2"/><Relationship Type="http://schemas.openxmlformats.org/officeDocument/2006/relationships/hyperlink" Target="https://www.alibaba.com/product-detail/x_1601670527616.html" TargetMode="External" Id="rId3"/><Relationship Type="http://schemas.openxmlformats.org/officeDocument/2006/relationships/hyperlink" Target="https://www.alibaba.com/product-detail/x_1601674082378.html" TargetMode="External" Id="rId4"/><Relationship Type="http://schemas.openxmlformats.org/officeDocument/2006/relationships/hyperlink" Target="https://www.alibaba.com/product-detail/x_1601670549446.html" TargetMode="External" Id="rId5"/><Relationship Type="http://schemas.openxmlformats.org/officeDocument/2006/relationships/hyperlink" Target="https://www.alibaba.com/product-detail/x_1601670599182.html" TargetMode="External" Id="rId6"/><Relationship Type="http://schemas.openxmlformats.org/officeDocument/2006/relationships/hyperlink" Target="https://www.alibaba.com/product-detail/x_1601670446700.html" TargetMode="External" Id="rId7"/><Relationship Type="http://schemas.openxmlformats.org/officeDocument/2006/relationships/hyperlink" Target="https://www.alibaba.com/product-detail/x_1601669410395.html" TargetMode="External" Id="rId8"/><Relationship Type="http://schemas.openxmlformats.org/officeDocument/2006/relationships/hyperlink" Target="https://www.alibaba.com/product-detail/x_1601700859617.html" TargetMode="External" Id="rId9"/><Relationship Type="http://schemas.openxmlformats.org/officeDocument/2006/relationships/hyperlink" Target="https://www.alibaba.com/product-detail/x_1601669531487.html" TargetMode="External" Id="rId10"/><Relationship Type="http://schemas.openxmlformats.org/officeDocument/2006/relationships/hyperlink" Target="https://www.alibaba.com/product-detail/x_1601734814192.html" TargetMode="External" Id="rId1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19" min="1" max="1"/>
    <col width="40" customWidth="1" style="19" min="2" max="2"/>
    <col width="15" customWidth="1" style="19" min="3" max="3"/>
    <col width="10" customWidth="1" style="19" min="4" max="4"/>
    <col width="13" customWidth="1" style="19" min="5" max="7"/>
    <col width="10" customWidth="1" style="19" min="8" max="8"/>
    <col width="13" customWidth="1" style="19" min="9" max="9"/>
    <col width="12" customWidth="1" style="19" min="10" max="10"/>
    <col width="14" customWidth="1" style="19" min="11" max="11"/>
    <col width="15" customWidth="1" style="19" min="12" max="12"/>
    <col width="36" customWidth="1" style="19" min="13" max="13"/>
    <col width="52" customWidth="1" style="19" min="14" max="14"/>
    <col width="48" customWidth="1" style="19" min="16" max="16"/>
    <col width="10" customWidth="1" style="19" min="17" max="17"/>
  </cols>
  <sheetData>
    <row r="1" ht="31.5" customHeight="1" s="20">
      <c r="A1" s="21" t="inlineStr">
        <is>
          <t>Rank</t>
        </is>
      </c>
      <c r="B1" s="21" t="inlineStr">
        <is>
          <t>Product</t>
        </is>
      </c>
      <c r="C1" s="21" t="inlineStr">
        <is>
          <t>Alibaba ID</t>
        </is>
      </c>
      <c r="D1" s="21" t="inlineStr">
        <is>
          <t>Units sold</t>
        </is>
      </c>
      <c r="E1" s="21" t="inlineStr">
        <is>
          <t>Price 1st tier (SEK)</t>
        </is>
      </c>
      <c r="F1" s="21" t="inlineStr">
        <is>
          <t>Price mid tier (SEK)</t>
        </is>
      </c>
      <c r="G1" s="21" t="inlineStr">
        <is>
          <t>Price 300+ tier (SEK)</t>
        </is>
      </c>
      <c r="H1" s="21" t="inlineStr">
        <is>
          <t>Weight (kg)</t>
        </is>
      </c>
      <c r="I1" s="21" t="inlineStr">
        <is>
          <t>Air ship 1 pc (SEK)</t>
        </is>
      </c>
      <c r="J1" s="21" t="inlineStr">
        <is>
          <t>Transit (quoted)</t>
        </is>
      </c>
      <c r="K1" s="21" t="inlineStr">
        <is>
          <t>Landed est. 1 pc (SEK)</t>
        </is>
      </c>
      <c r="L1" s="21" t="inlineStr">
        <is>
          <t>Landed est. 12+ pcs (SEK)</t>
        </is>
      </c>
      <c r="M1" s="21" t="inlineStr">
        <is>
          <t>Note</t>
        </is>
      </c>
      <c r="N1" s="22" t="inlineStr">
        <is>
          <t>Model (quote 16 Sep)</t>
        </is>
      </c>
      <c r="O1" s="22" t="inlineStr">
        <is>
          <t>Sample unit USD (quote)</t>
        </is>
      </c>
      <c r="P1" s="23" t="inlineStr">
        <is>
          <t>Assumptions (edit the yellow cells)</t>
        </is>
      </c>
      <c r="Q1" s="24" t="n"/>
    </row>
    <row r="2" ht="15" customHeight="1" s="20">
      <c r="A2" s="25" t="n">
        <v>1</v>
      </c>
      <c r="B2" s="25" t="inlineStr">
        <is>
          <t>3-jet windproof lighter ('Personality')</t>
        </is>
      </c>
      <c r="C2" s="25" t="inlineStr">
        <is>
          <t>1601670610171</t>
        </is>
      </c>
      <c r="D2" s="25" t="n">
        <v>501</v>
      </c>
      <c r="E2" s="26" t="n">
        <v>98.83</v>
      </c>
      <c r="F2" s="26" t="n">
        <v>90.84</v>
      </c>
      <c r="G2" s="26" t="n">
        <v>82.84999999999999</v>
      </c>
      <c r="H2" s="27" t="n">
        <v>0.15</v>
      </c>
      <c r="I2" s="26" t="n">
        <v>39.93</v>
      </c>
      <c r="J2" s="25" t="inlineStr">
        <is>
          <t>8–9 days</t>
        </is>
      </c>
      <c r="K2" s="26">
        <f>(E2+IF(I2="",$Q$5,I2))*(1+$Q$2)*(1+$Q$3)+$Q$4</f>
        <v/>
      </c>
      <c r="L2" s="26">
        <f>(IF(F2="",E2,F2)+IF(I2="",$Q$5,I2)/$Q$6)*(1+$Q$2)*(1+$Q$3)+$Q$4/$Q$6</f>
        <v/>
      </c>
      <c r="M2" s="25" t="inlineStr">
        <is>
          <t>SAMPLE — best-selling lighter</t>
        </is>
      </c>
      <c r="N2" s="28" t="inlineStr">
        <is>
          <t>CL-957</t>
        </is>
      </c>
      <c r="O2" t="n">
        <v>9.9</v>
      </c>
      <c r="P2" s="29" t="inlineStr">
        <is>
          <t>Swedish VAT</t>
        </is>
      </c>
      <c r="Q2" s="30" t="n">
        <v>0.25</v>
      </c>
    </row>
    <row r="3" ht="15" customHeight="1" s="20">
      <c r="A3" s="31" t="n">
        <v>2</v>
      </c>
      <c r="B3" s="31" t="inlineStr">
        <is>
          <t>Alloy cigar needle / rest tool</t>
        </is>
      </c>
      <c r="C3" s="31" t="inlineStr">
        <is>
          <t>1601741886735</t>
        </is>
      </c>
      <c r="D3" s="31" t="n">
        <v>306</v>
      </c>
      <c r="E3" s="32" t="n">
        <v>79.06</v>
      </c>
      <c r="F3" s="32" t="n"/>
      <c r="G3" s="32" t="n"/>
      <c r="H3" s="33" t="n">
        <v>0.12</v>
      </c>
      <c r="I3" s="32" t="n"/>
      <c r="J3" s="31" t="n"/>
      <c r="K3" s="32">
        <f>(E3+IF(I3="",$Q$5,I3))*(1+$Q$2)*(1+$Q$3)+$Q$4</f>
        <v/>
      </c>
      <c r="L3" s="32">
        <f>(IF(F3="",E3,F3)+IF(I3="",$Q$5,I3)/$Q$6)*(1+$Q$2)*(1+$Q$3)+$Q$4/$Q$6</f>
        <v/>
      </c>
      <c r="M3" s="31" t="inlineStr">
        <is>
          <t>Cheap, useful</t>
        </is>
      </c>
      <c r="N3" s="34" t="inlineStr">
        <is>
          <t>CR-24K1</t>
        </is>
      </c>
      <c r="O3" t="n">
        <v>8.800000000000001</v>
      </c>
      <c r="P3" s="29" t="inlineStr">
        <is>
          <t>Customs duty (avg, accessories)</t>
        </is>
      </c>
      <c r="Q3" s="35" t="n">
        <v>0.03</v>
      </c>
    </row>
    <row r="4" ht="15" customHeight="1" s="20">
      <c r="A4" s="25" t="n">
        <v>3</v>
      </c>
      <c r="B4" s="25" t="inlineStr">
        <is>
          <t>Triple-flame jet lighter, visible gas</t>
        </is>
      </c>
      <c r="C4" s="25" t="inlineStr">
        <is>
          <t>1601670527616</t>
        </is>
      </c>
      <c r="D4" s="25" t="n">
        <v>300</v>
      </c>
      <c r="E4" s="26" t="n">
        <v>28.95</v>
      </c>
      <c r="F4" s="26" t="n">
        <v>26.96</v>
      </c>
      <c r="G4" s="26" t="n">
        <v>25.96</v>
      </c>
      <c r="H4" s="27" t="n">
        <v>0.35</v>
      </c>
      <c r="I4" s="26" t="n">
        <v>39.93</v>
      </c>
      <c r="J4" s="25" t="inlineStr">
        <is>
          <t>8–9 days</t>
        </is>
      </c>
      <c r="K4" s="26">
        <f>(E4+IF(I4="",$Q$5,I4))*(1+$Q$2)*(1+$Q$3)+$Q$4</f>
        <v/>
      </c>
      <c r="L4" s="26">
        <f>(IF(F4="",E4,F4)+IF(I4="",$Q$5,I4)/$Q$6)*(1+$Q$2)*(1+$Q$3)+$Q$4/$Q$6</f>
        <v/>
      </c>
      <c r="M4" s="25" t="inlineStr">
        <is>
          <t>SAMPLE — entry price</t>
        </is>
      </c>
      <c r="N4" s="28" t="inlineStr">
        <is>
          <t>CB-24FT4</t>
        </is>
      </c>
      <c r="O4" t="n">
        <v>2.9</v>
      </c>
      <c r="P4" s="29" t="inlineStr">
        <is>
          <t>Carrier handling fee per parcel (SEK)</t>
        </is>
      </c>
      <c r="Q4" s="36" t="n">
        <v>100</v>
      </c>
    </row>
    <row r="5" ht="15" customHeight="1" s="20">
      <c r="A5" s="31" t="n">
        <v>4</v>
      </c>
      <c r="B5" s="31" t="inlineStr">
        <is>
          <t>Square ceramic ashtray, 4 slots</t>
        </is>
      </c>
      <c r="C5" s="31" t="inlineStr">
        <is>
          <t>1601674082378</t>
        </is>
      </c>
      <c r="D5" s="31" t="n">
        <v>202</v>
      </c>
      <c r="E5" s="32" t="n">
        <v>90.84</v>
      </c>
      <c r="F5" s="32" t="n">
        <v>84.84999999999999</v>
      </c>
      <c r="G5" s="32" t="n">
        <v>78.86</v>
      </c>
      <c r="H5" s="33" t="n">
        <v>2.2</v>
      </c>
      <c r="I5" s="32" t="n">
        <v>119.79</v>
      </c>
      <c r="J5" s="31" t="inlineStr">
        <is>
          <t>8–9 days</t>
        </is>
      </c>
      <c r="K5" s="32">
        <f>(E5+IF(I5="",$Q$5,I5))*(1+$Q$2)*(1+$Q$3)+$Q$4</f>
        <v/>
      </c>
      <c r="L5" s="32">
        <f>(IF(F5="",E5,F5)+IF(I5="",$Q$5,I5)/$Q$6)*(1+$Q$2)*(1+$Q$3)+$Q$4/$Q$6</f>
        <v/>
      </c>
      <c r="M5" s="31" t="inlineStr">
        <is>
          <t>#19 hot in Ashtrays; freight-bound</t>
        </is>
      </c>
      <c r="N5" s="34" t="inlineStr">
        <is>
          <t>CG-25FD2</t>
        </is>
      </c>
      <c r="O5" t="n">
        <v>9.1</v>
      </c>
      <c r="P5" s="29" t="inlineStr">
        <is>
          <t>Default ship per pc when not quoted (SEK)</t>
        </is>
      </c>
      <c r="Q5" s="36" t="n">
        <v>39.93</v>
      </c>
    </row>
    <row r="6" ht="15" customHeight="1" s="20">
      <c r="A6" s="25" t="n">
        <v>5</v>
      </c>
      <c r="B6" s="25" t="inlineStr">
        <is>
          <t>Waterproof travel humidor, 5 cigars</t>
        </is>
      </c>
      <c r="C6" s="25" t="inlineStr">
        <is>
          <t>1601670549446</t>
        </is>
      </c>
      <c r="D6" s="25" t="n">
        <v>128</v>
      </c>
      <c r="E6" s="26" t="n">
        <v>90.84</v>
      </c>
      <c r="F6" s="26" t="n">
        <v>82.84999999999999</v>
      </c>
      <c r="G6" s="26" t="n">
        <v>75.87</v>
      </c>
      <c r="H6" s="27" t="n">
        <v>0.7</v>
      </c>
      <c r="I6" s="26" t="n">
        <v>39.93</v>
      </c>
      <c r="J6" s="25" t="inlineStr">
        <is>
          <t>8–9 days</t>
        </is>
      </c>
      <c r="K6" s="26">
        <f>(E6+IF(I6="",$Q$5,I6))*(1+$Q$2)*(1+$Q$3)+$Q$4</f>
        <v/>
      </c>
      <c r="L6" s="26">
        <f>(IF(F6="",E6,F6)+IF(I6="",$Q$5,I6)/$Q$6)*(1+$Q$2)*(1+$Q$3)+$Q$4/$Q$6</f>
        <v/>
      </c>
      <c r="M6" s="25" t="inlineStr">
        <is>
          <t>SAMPLE — travel-case guide</t>
        </is>
      </c>
      <c r="N6" s="28" t="inlineStr">
        <is>
          <t>CA-24DAC</t>
        </is>
      </c>
      <c r="O6" t="n">
        <v>9.1</v>
      </c>
      <c r="P6" s="29" t="inlineStr">
        <is>
          <t>Pieces per line in a real order</t>
        </is>
      </c>
      <c r="Q6" s="36" t="n">
        <v>12</v>
      </c>
    </row>
    <row r="7" ht="15" customHeight="1" s="20">
      <c r="A7" s="31" t="n">
        <v>6</v>
      </c>
      <c r="B7" s="31" t="inlineStr">
        <is>
          <t>PU travel box humidor, mesh pocket</t>
        </is>
      </c>
      <c r="C7" s="31" t="inlineStr">
        <is>
          <t>1601670599182</t>
        </is>
      </c>
      <c r="D7" s="31" t="n">
        <v>101</v>
      </c>
      <c r="E7" s="32" t="n">
        <v>15.18</v>
      </c>
      <c r="F7" s="32" t="n"/>
      <c r="G7" s="32" t="n">
        <v>29.95</v>
      </c>
      <c r="H7" s="33" t="n">
        <v>0.15</v>
      </c>
      <c r="I7" s="32" t="n">
        <v>39.93</v>
      </c>
      <c r="J7" s="31" t="inlineStr">
        <is>
          <t>8–9 days</t>
        </is>
      </c>
      <c r="K7" s="32">
        <f>(E7+IF(I7="",$Q$5,I7))*(1+$Q$2)*(1+$Q$3)+$Q$4</f>
        <v/>
      </c>
      <c r="L7" s="32">
        <f>(IF(F7="",E7,F7)+IF(I7="",$Q$5,I7)/$Q$6)*(1+$Q$2)*(1+$Q$3)+$Q$4/$Q$6</f>
        <v/>
      </c>
      <c r="M7" s="31" t="inlineStr">
        <is>
          <t>Budget line (range 15–30)</t>
        </is>
      </c>
      <c r="N7" s="34" t="inlineStr">
        <is>
          <t>CH-24DL2</t>
        </is>
      </c>
      <c r="O7" t="n">
        <v>1.5</v>
      </c>
      <c r="P7" s="29" t="n"/>
    </row>
    <row r="8" ht="15" customHeight="1" s="20">
      <c r="A8" s="31" t="n">
        <v>7</v>
      </c>
      <c r="B8" s="31" t="inlineStr">
        <is>
          <t>Small cigar humidifier</t>
        </is>
      </c>
      <c r="C8" s="31" t="inlineStr">
        <is>
          <t>1601670446700</t>
        </is>
      </c>
      <c r="D8" s="31" t="n">
        <v>100</v>
      </c>
      <c r="E8" s="32" t="n">
        <v>6.09</v>
      </c>
      <c r="F8" s="32" t="n">
        <v>5.3</v>
      </c>
      <c r="G8" s="32" t="n">
        <v>5.2</v>
      </c>
      <c r="H8" s="33" t="n">
        <v>0.05</v>
      </c>
      <c r="I8" s="32" t="n"/>
      <c r="J8" s="31" t="n"/>
      <c r="K8" s="32">
        <f>(E8+IF(I8="",$Q$5,I8))*(1+$Q$2)*(1+$Q$3)+$Q$4</f>
        <v/>
      </c>
      <c r="L8" s="32">
        <f>(IF(F8="",E8,F8)+IF(I8="",$Q$5,I8)/$Q$6)*(1+$Q$2)*(1+$Q$3)+$Q$4/$Q$6</f>
        <v/>
      </c>
      <c r="M8" s="31" t="inlineStr">
        <is>
          <t>Bundle item</t>
        </is>
      </c>
      <c r="N8" s="34" t="inlineStr">
        <is>
          <t>CLM-23HX1</t>
        </is>
      </c>
      <c r="O8" t="n">
        <v>0.6</v>
      </c>
      <c r="P8" s="37" t="inlineStr">
        <is>
          <t>Sample order quote 16 Sep 2026</t>
        </is>
      </c>
    </row>
    <row r="9" ht="15" customHeight="1" s="20">
      <c r="A9" s="25" t="n">
        <v>8</v>
      </c>
      <c r="B9" s="25" t="inlineStr">
        <is>
          <t>3-jet lighter with V-cutter + punch</t>
        </is>
      </c>
      <c r="C9" s="25" t="inlineStr">
        <is>
          <t>1601669410395</t>
        </is>
      </c>
      <c r="D9" s="25" t="n">
        <v>92</v>
      </c>
      <c r="E9" s="26" t="n">
        <v>97.83</v>
      </c>
      <c r="F9" s="26" t="n">
        <v>91.84</v>
      </c>
      <c r="G9" s="26" t="n">
        <v>85.84999999999999</v>
      </c>
      <c r="H9" s="27" t="n">
        <v>0.4</v>
      </c>
      <c r="I9" s="26" t="n">
        <v>39.93</v>
      </c>
      <c r="J9" s="25" t="inlineStr">
        <is>
          <t>8–9 days</t>
        </is>
      </c>
      <c r="K9" s="26">
        <f>(E9+IF(I9="",$Q$5,I9))*(1+$Q$2)*(1+$Q$3)+$Q$4</f>
        <v/>
      </c>
      <c r="L9" s="26">
        <f>(IF(F9="",E9,F9)+IF(I9="",$Q$5,I9)/$Q$6)*(1+$Q$2)*(1+$Q$3)+$Q$4/$Q$6</f>
        <v/>
      </c>
      <c r="M9" s="25" t="inlineStr">
        <is>
          <t>SAMPLE — #1 in Multi-Functional Lighters</t>
        </is>
      </c>
      <c r="N9" s="28" t="inlineStr">
        <is>
          <t>CL-24HX</t>
        </is>
      </c>
      <c r="O9" t="n">
        <v>9.800000000000001</v>
      </c>
      <c r="P9" s="29" t="inlineStr">
        <is>
          <t>17 items, product USD</t>
        </is>
      </c>
      <c r="Q9" t="n">
        <v>133.3</v>
      </c>
    </row>
    <row r="10" ht="15" customHeight="1" s="20">
      <c r="A10" s="31" t="n">
        <v>9</v>
      </c>
      <c r="B10" s="31" t="inlineStr">
        <is>
          <t>USB probe hygrometer</t>
        </is>
      </c>
      <c r="C10" s="31" t="inlineStr">
        <is>
          <t>1601700859617</t>
        </is>
      </c>
      <c r="D10" s="31" t="n">
        <v>62</v>
      </c>
      <c r="E10" s="32" t="n">
        <v>99.81999999999999</v>
      </c>
      <c r="F10" s="32" t="n">
        <v>92.84</v>
      </c>
      <c r="G10" s="32" t="n">
        <v>86.84999999999999</v>
      </c>
      <c r="H10" s="33" t="n"/>
      <c r="I10" s="32" t="n"/>
      <c r="J10" s="31" t="inlineStr">
        <is>
          <t>17–24 days</t>
        </is>
      </c>
      <c r="K10" s="32">
        <f>(E10+IF(I10="",$Q$5,I10))*(1+$Q$2)*(1+$Q$3)+$Q$4</f>
        <v/>
      </c>
      <c r="L10" s="32">
        <f>(IF(F10="",E10,F10)+IF(I10="",$Q$5,I10)/$Q$6)*(1+$Q$2)*(1+$Q$3)+$Q$4/$Q$6</f>
        <v/>
      </c>
      <c r="M10" s="31" t="inlineStr">
        <is>
          <t>Slow ship; good content</t>
        </is>
      </c>
      <c r="N10" s="34" t="inlineStr">
        <is>
          <t>CK-25LM</t>
        </is>
      </c>
      <c r="O10" t="n">
        <v>10</v>
      </c>
      <c r="P10" s="29" t="inlineStr">
        <is>
          <t>Shipping USD (4.45 kg, air DDP ~15 d)</t>
        </is>
      </c>
      <c r="Q10" t="n">
        <v>101</v>
      </c>
    </row>
    <row r="11" ht="15" customHeight="1" s="20">
      <c r="A11" s="31" t="n">
        <v>10</v>
      </c>
      <c r="B11" s="31" t="inlineStr">
        <is>
          <t>Plastic humidifier for humidors</t>
        </is>
      </c>
      <c r="C11" s="31" t="inlineStr">
        <is>
          <t>1601669531487</t>
        </is>
      </c>
      <c r="D11" s="31" t="n">
        <v>61</v>
      </c>
      <c r="E11" s="32" t="n">
        <v>16.67</v>
      </c>
      <c r="F11" s="32" t="n"/>
      <c r="G11" s="32" t="n">
        <v>14.48</v>
      </c>
      <c r="H11" s="33" t="n"/>
      <c r="I11" s="32" t="n"/>
      <c r="J11" s="31" t="n"/>
      <c r="K11" s="32">
        <f>(E11+IF(I11="",$Q$5,I11))*(1+$Q$2)*(1+$Q$3)+$Q$4</f>
        <v/>
      </c>
      <c r="L11" s="32">
        <f>(IF(F11="",E11,F11)+IF(I11="",$Q$5,I11)/$Q$6)*(1+$Q$2)*(1+$Q$3)+$Q$4/$Q$6</f>
        <v/>
      </c>
      <c r="M11" s="31" t="inlineStr">
        <is>
          <t>Bundle item</t>
        </is>
      </c>
      <c r="N11" s="34" t="inlineStr">
        <is>
          <t>CM-25GY</t>
        </is>
      </c>
      <c r="O11" t="n">
        <v>1.7</v>
      </c>
      <c r="P11" t="inlineStr">
        <is>
          <t>Total USD</t>
        </is>
      </c>
      <c r="Q11">
        <f>Q9+Q10</f>
        <v/>
      </c>
    </row>
    <row r="12" ht="15" customHeight="1" s="20">
      <c r="A12" s="31" t="n">
        <v>11</v>
      </c>
      <c r="B12" s="31" t="inlineStr">
        <is>
          <t>Glass mini ashtray, gift box</t>
        </is>
      </c>
      <c r="C12" s="31" t="inlineStr">
        <is>
          <t>1601734814192</t>
        </is>
      </c>
      <c r="D12" s="31" t="n">
        <v>47</v>
      </c>
      <c r="E12" s="32" t="n">
        <v>85.34999999999999</v>
      </c>
      <c r="F12" s="32" t="n"/>
      <c r="G12" s="32" t="n"/>
      <c r="H12" s="33" t="n">
        <v>0.5</v>
      </c>
      <c r="I12" s="32" t="n"/>
      <c r="J12" s="31" t="n"/>
      <c r="K12" s="32">
        <f>(E12+IF(I12="",$Q$5,I12))*(1+$Q$2)*(1+$Q$3)+$Q$4</f>
        <v/>
      </c>
      <c r="L12" s="32">
        <f>(IF(F12="",E12,F12)+IF(I12="",$Q$5,I12)/$Q$6)*(1+$Q$2)*(1+$Q$3)+$Q$4/$Q$6</f>
        <v/>
      </c>
      <c r="M12" s="31" t="inlineStr">
        <is>
          <t>Maybe</t>
        </is>
      </c>
      <c r="N12" s="34" t="inlineStr">
        <is>
          <t>CG-24DET1</t>
        </is>
      </c>
      <c r="O12" t="n">
        <v>9.5</v>
      </c>
      <c r="P12" t="inlineStr">
        <is>
          <t>Extras not in list: CL-J87 cutter 19.7, CL-092 lighter (1601670595306) 15.9</t>
        </is>
      </c>
    </row>
    <row r="13" ht="15" customHeight="1" s="20">
      <c r="A13" s="31" t="n">
        <v>12</v>
      </c>
      <c r="B13" s="31" t="inlineStr">
        <is>
          <t>Steel cigar scissors, leather head</t>
        </is>
      </c>
      <c r="C13" s="31" t="inlineStr">
        <is>
          <t>1601695556090</t>
        </is>
      </c>
      <c r="D13" s="31" t="n">
        <v>44</v>
      </c>
      <c r="E13" s="32" t="n">
        <v>43.83</v>
      </c>
      <c r="F13" s="32" t="n"/>
      <c r="G13" s="32" t="n">
        <v>14.98</v>
      </c>
      <c r="H13" s="33" t="n"/>
      <c r="I13" s="32" t="n"/>
      <c r="J13" s="31" t="n"/>
      <c r="K13" s="32">
        <f>(E13+IF(I13="",$Q$5,I13))*(1+$Q$2)*(1+$Q$3)+$Q$4</f>
        <v/>
      </c>
      <c r="L13" s="32">
        <f>(IF(F13="",E13,F13)+IF(I13="",$Q$5,I13)/$Q$6)*(1+$Q$2)*(1+$Q$3)+$Q$4/$Q$6</f>
        <v/>
      </c>
      <c r="M13" s="31" t="inlineStr">
        <is>
          <t>Cheap, photogenic (range 15–44)</t>
        </is>
      </c>
      <c r="N13" s="34" t="inlineStr">
        <is>
          <t>CLE-21CB2</t>
        </is>
      </c>
      <c r="O13" t="n">
        <v>2</v>
      </c>
    </row>
    <row r="14" ht="15" customHeight="1" s="20">
      <c r="A14" s="25" t="n">
        <v>13</v>
      </c>
      <c r="B14" s="25" t="inlineStr">
        <is>
          <t>5-in-1 cutter: V, flat, rest, punch, needle</t>
        </is>
      </c>
      <c r="C14" s="25" t="inlineStr">
        <is>
          <t>1601772686779</t>
        </is>
      </c>
      <c r="D14" s="25" t="n">
        <v>38</v>
      </c>
      <c r="E14" s="26" t="n">
        <v>113.8</v>
      </c>
      <c r="F14" s="26" t="n">
        <v>105.81</v>
      </c>
      <c r="G14" s="26" t="n">
        <v>98.83</v>
      </c>
      <c r="H14" s="27" t="n"/>
      <c r="I14" s="26" t="n"/>
      <c r="J14" s="25" t="inlineStr">
        <is>
          <t>8–9 days</t>
        </is>
      </c>
      <c r="K14" s="26">
        <f>(E14+IF(I14="",$Q$5,I14))*(1+$Q$2)*(1+$Q$3)+$Q$4</f>
        <v/>
      </c>
      <c r="L14" s="26">
        <f>(IF(F14="",E14,F14)+IF(I14="",$Q$5,I14)/$Q$6)*(1+$Q$2)*(1+$Q$3)+$Q$4/$Q$6</f>
        <v/>
      </c>
      <c r="M14" s="25" t="inlineStr">
        <is>
          <t>SAMPLE — one tool, one blog</t>
        </is>
      </c>
      <c r="N14" s="28" t="inlineStr">
        <is>
          <t>CE-26BX</t>
        </is>
      </c>
      <c r="O14" t="n">
        <v>11.4</v>
      </c>
    </row>
    <row r="15" ht="15" customHeight="1" s="20">
      <c r="A15" s="31" t="n">
        <v>14</v>
      </c>
      <c r="B15" s="31" t="inlineStr">
        <is>
          <t>Dual-side cutting tool with drill + rest</t>
        </is>
      </c>
      <c r="C15" s="31" t="inlineStr">
        <is>
          <t>1601885109858</t>
        </is>
      </c>
      <c r="D15" s="31" t="n">
        <v>34</v>
      </c>
      <c r="E15" s="32" t="n">
        <v>90.84</v>
      </c>
      <c r="F15" s="32" t="n">
        <v>84.84999999999999</v>
      </c>
      <c r="G15" s="32" t="n">
        <v>78.86</v>
      </c>
      <c r="H15" s="33" t="n"/>
      <c r="I15" s="32" t="n"/>
      <c r="J15" s="31" t="inlineStr">
        <is>
          <t>8–9 days</t>
        </is>
      </c>
      <c r="K15" s="32">
        <f>(E15+IF(I15="",$Q$5,I15))*(1+$Q$2)*(1+$Q$3)+$Q$4</f>
        <v/>
      </c>
      <c r="L15" s="32">
        <f>(IF(F15="",E15,F15)+IF(I15="",$Q$5,I15)/$Q$6)*(1+$Q$2)*(1+$Q$3)+$Q$4/$Q$6</f>
        <v/>
      </c>
      <c r="M15" s="31" t="inlineStr">
        <is>
          <t>Yes</t>
        </is>
      </c>
      <c r="N15" s="34" t="inlineStr">
        <is>
          <t>CE-26DX</t>
        </is>
      </c>
      <c r="O15" t="n">
        <v>9.1</v>
      </c>
    </row>
    <row r="16" ht="15" customHeight="1" s="20">
      <c r="A16" s="31" t="n">
        <v>15</v>
      </c>
      <c r="B16" s="31" t="inlineStr">
        <is>
          <t>Logo-customisable double-blade cutter</t>
        </is>
      </c>
      <c r="C16" s="31" t="inlineStr">
        <is>
          <t>1601670512723</t>
        </is>
      </c>
      <c r="D16" s="31" t="n">
        <v>32</v>
      </c>
      <c r="E16" s="32" t="n">
        <v>19.97</v>
      </c>
      <c r="F16" s="32" t="n">
        <v>18.97</v>
      </c>
      <c r="G16" s="32" t="n">
        <v>17.97</v>
      </c>
      <c r="H16" s="33" t="n">
        <v>0.3</v>
      </c>
      <c r="I16" s="32" t="n"/>
      <c r="J16" s="31" t="n"/>
      <c r="K16" s="32">
        <f>(E16+IF(I16="",$Q$5,I16))*(1+$Q$2)*(1+$Q$3)+$Q$4</f>
        <v/>
      </c>
      <c r="L16" s="32">
        <f>(IF(F16="",E16,F16)+IF(I16="",$Q$5,I16)/$Q$6)*(1+$Q$2)*(1+$Q$3)+$Q$4/$Q$6</f>
        <v/>
      </c>
      <c r="M16" s="31" t="inlineStr">
        <is>
          <t>Branded giveaway</t>
        </is>
      </c>
      <c r="N16" s="34" t="inlineStr">
        <is>
          <t>CL-JD-0001</t>
        </is>
      </c>
      <c r="O16" t="n">
        <v>2.3</v>
      </c>
    </row>
    <row r="17" ht="15" customHeight="1" s="20"/>
    <row r="18" ht="15" customHeight="1" s="20"/>
    <row r="19" ht="15" customHeight="1" s="20"/>
    <row r="20" ht="15" customHeight="1" s="20"/>
    <row r="21" ht="15" customHeight="1" s="20"/>
  </sheetData>
  <hyperlinks>
    <hyperlink xmlns:r="http://schemas.openxmlformats.org/officeDocument/2006/relationships" ref="N4" display="https://www.alibaba.com/product-detail/x_1601670527616.html" r:id="rId1"/>
    <hyperlink xmlns:r="http://schemas.openxmlformats.org/officeDocument/2006/relationships" ref="N5" display="https://www.alibaba.com/product-detail/x_1601674082378.html" r:id="rId2"/>
    <hyperlink xmlns:r="http://schemas.openxmlformats.org/officeDocument/2006/relationships" ref="N6" display="https://www.alibaba.com/product-detail/x_1601670549446.html" r:id="rId3"/>
    <hyperlink xmlns:r="http://schemas.openxmlformats.org/officeDocument/2006/relationships" ref="N8" display="https://www.alibaba.com/product-detail/x_1601670446700.html" r:id="rId4"/>
    <hyperlink xmlns:r="http://schemas.openxmlformats.org/officeDocument/2006/relationships" ref="N9" display="https://www.alibaba.com/product-detail/x_1601669410395.html" r:id="rId5"/>
    <hyperlink xmlns:r="http://schemas.openxmlformats.org/officeDocument/2006/relationships" ref="N10" display="https://www.alibaba.com/product-detail/x_1601700859617.html" r:id="rId6"/>
    <hyperlink xmlns:r="http://schemas.openxmlformats.org/officeDocument/2006/relationships" ref="N11" display="https://www.alibaba.com/product-detail/x_1601669531487.html" r:id="rId7"/>
    <hyperlink xmlns:r="http://schemas.openxmlformats.org/officeDocument/2006/relationships" ref="N12" display="https://www.alibaba.com/product-detail/x_1601734814192.html" r:id="rId8"/>
    <hyperlink xmlns:r="http://schemas.openxmlformats.org/officeDocument/2006/relationships" ref="N14" display="https://www.alibaba.com/product-detail/x_1601772686779.html" r:id="rId9"/>
    <hyperlink xmlns:r="http://schemas.openxmlformats.org/officeDocument/2006/relationships" ref="N15" display="https://www.alibaba.com/product-detail/x_1601885109858.html" r:id="rId10"/>
    <hyperlink xmlns:r="http://schemas.openxmlformats.org/officeDocument/2006/relationships" ref="N16" display="https://www.alibaba.com/product-detail/x_1601670512723.html" r:id="rId1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2026-09-16T08:52:22Z</dcterms:created>
  <dcterms:modified xmlns:dcterms="http://purl.org/dc/terms/" xmlns:xsi="http://www.w3.org/2001/XMLSchema-instance" xsi:type="dcterms:W3CDTF">2026-09-16T11:32:20Z</dcterms:modified>
  <cp:revision>0</cp:revision>
</cp:coreProperties>
</file>